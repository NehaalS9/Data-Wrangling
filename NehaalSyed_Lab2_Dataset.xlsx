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6b418da9a587d2/School/Business Analytics/"/>
    </mc:Choice>
  </mc:AlternateContent>
  <xr:revisionPtr revIDLastSave="39" documentId="8_{C0BD22C3-2770-442F-9628-435DEE7F3E84}" xr6:coauthVersionLast="47" xr6:coauthVersionMax="47" xr10:uidLastSave="{4E4AC8A7-A5B4-4F7C-94E4-62631C895298}"/>
  <bookViews>
    <workbookView xWindow="-110" yWindow="-110" windowWidth="23260" windowHeight="14860" activeTab="1" xr2:uid="{6A265107-19FB-4829-B18E-ACD2D894BEEA}"/>
  </bookViews>
  <sheets>
    <sheet name="Lab2_Dataset (3)" sheetId="3" r:id="rId1"/>
    <sheet name="NehaalSyyed_Lab2_Dataset" sheetId="2" r:id="rId2"/>
  </sheets>
  <definedNames>
    <definedName name="ExternalData_1" localSheetId="1" hidden="1">NehaalSyyed_Lab2_Dataset!$A$1:$I$1001</definedName>
    <definedName name="ExternalData_2" localSheetId="0" hidden="1">'Lab2_Dataset (3)'!$A$1:$I$1001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999" i="2"/>
  <c r="K1000" i="2"/>
  <c r="K10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W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P289" i="2"/>
  <c r="P751" i="2"/>
  <c r="P1001" i="2"/>
  <c r="O2" i="2" a="1"/>
  <c r="P320" i="2" s="1"/>
  <c r="P168" i="2" l="1"/>
  <c r="P822" i="2"/>
  <c r="P752" i="2"/>
  <c r="P608" i="2"/>
  <c r="P682" i="2"/>
  <c r="P589" i="2"/>
  <c r="P970" i="2"/>
  <c r="P519" i="2"/>
  <c r="P969" i="2"/>
  <c r="P518" i="2"/>
  <c r="P906" i="2"/>
  <c r="P432" i="2"/>
  <c r="P839" i="2"/>
  <c r="O2" i="2"/>
  <c r="P3" i="2"/>
  <c r="P13" i="2"/>
  <c r="P23" i="2"/>
  <c r="P33" i="2"/>
  <c r="P43" i="2"/>
  <c r="P53" i="2"/>
  <c r="P63" i="2"/>
  <c r="P73" i="2"/>
  <c r="P83" i="2"/>
  <c r="P93" i="2"/>
  <c r="P103" i="2"/>
  <c r="P113" i="2"/>
  <c r="P123" i="2"/>
  <c r="P133" i="2"/>
  <c r="P143" i="2"/>
  <c r="P153" i="2"/>
  <c r="P163" i="2"/>
  <c r="P173" i="2"/>
  <c r="P183" i="2"/>
  <c r="P193" i="2"/>
  <c r="P203" i="2"/>
  <c r="P213" i="2"/>
  <c r="P223" i="2"/>
  <c r="P233" i="2"/>
  <c r="P243" i="2"/>
  <c r="P253" i="2"/>
  <c r="P263" i="2"/>
  <c r="P273" i="2"/>
  <c r="P283" i="2"/>
  <c r="P293" i="2"/>
  <c r="P303" i="2"/>
  <c r="P313" i="2"/>
  <c r="P323" i="2"/>
  <c r="P333" i="2"/>
  <c r="P343" i="2"/>
  <c r="P353" i="2"/>
  <c r="P363" i="2"/>
  <c r="P373" i="2"/>
  <c r="P383" i="2"/>
  <c r="P393" i="2"/>
  <c r="P403" i="2"/>
  <c r="P413" i="2"/>
  <c r="P423" i="2"/>
  <c r="P433" i="2"/>
  <c r="P443" i="2"/>
  <c r="P453" i="2"/>
  <c r="P463" i="2"/>
  <c r="P473" i="2"/>
  <c r="P483" i="2"/>
  <c r="P493" i="2"/>
  <c r="P503" i="2"/>
  <c r="P513" i="2"/>
  <c r="P523" i="2"/>
  <c r="P533" i="2"/>
  <c r="P543" i="2"/>
  <c r="P553" i="2"/>
  <c r="P563" i="2"/>
  <c r="P573" i="2"/>
  <c r="P583" i="2"/>
  <c r="P593" i="2"/>
  <c r="P603" i="2"/>
  <c r="P613" i="2"/>
  <c r="P623" i="2"/>
  <c r="P633" i="2"/>
  <c r="P643" i="2"/>
  <c r="P653" i="2"/>
  <c r="P663" i="2"/>
  <c r="P673" i="2"/>
  <c r="P683" i="2"/>
  <c r="P693" i="2"/>
  <c r="P703" i="2"/>
  <c r="P713" i="2"/>
  <c r="P723" i="2"/>
  <c r="P733" i="2"/>
  <c r="P743" i="2"/>
  <c r="P753" i="2"/>
  <c r="P763" i="2"/>
  <c r="P773" i="2"/>
  <c r="P783" i="2"/>
  <c r="P793" i="2"/>
  <c r="P803" i="2"/>
  <c r="P813" i="2"/>
  <c r="P823" i="2"/>
  <c r="P833" i="2"/>
  <c r="P843" i="2"/>
  <c r="P4" i="2"/>
  <c r="P14" i="2"/>
  <c r="P24" i="2"/>
  <c r="P34" i="2"/>
  <c r="P44" i="2"/>
  <c r="P54" i="2"/>
  <c r="P64" i="2"/>
  <c r="P74" i="2"/>
  <c r="P84" i="2"/>
  <c r="P94" i="2"/>
  <c r="P104" i="2"/>
  <c r="P114" i="2"/>
  <c r="P124" i="2"/>
  <c r="P134" i="2"/>
  <c r="P144" i="2"/>
  <c r="P154" i="2"/>
  <c r="P164" i="2"/>
  <c r="P174" i="2"/>
  <c r="P184" i="2"/>
  <c r="P194" i="2"/>
  <c r="P204" i="2"/>
  <c r="P214" i="2"/>
  <c r="P224" i="2"/>
  <c r="P234" i="2"/>
  <c r="P244" i="2"/>
  <c r="P254" i="2"/>
  <c r="P264" i="2"/>
  <c r="P274" i="2"/>
  <c r="P284" i="2"/>
  <c r="P294" i="2"/>
  <c r="P304" i="2"/>
  <c r="P314" i="2"/>
  <c r="P324" i="2"/>
  <c r="P334" i="2"/>
  <c r="P344" i="2"/>
  <c r="P354" i="2"/>
  <c r="P364" i="2"/>
  <c r="P374" i="2"/>
  <c r="P384" i="2"/>
  <c r="P394" i="2"/>
  <c r="P404" i="2"/>
  <c r="P414" i="2"/>
  <c r="P424" i="2"/>
  <c r="P434" i="2"/>
  <c r="P444" i="2"/>
  <c r="P454" i="2"/>
  <c r="P5" i="2"/>
  <c r="P17" i="2"/>
  <c r="P29" i="2"/>
  <c r="P41" i="2"/>
  <c r="P55" i="2"/>
  <c r="P67" i="2"/>
  <c r="P79" i="2"/>
  <c r="P91" i="2"/>
  <c r="P105" i="2"/>
  <c r="P117" i="2"/>
  <c r="P129" i="2"/>
  <c r="P141" i="2"/>
  <c r="P155" i="2"/>
  <c r="P167" i="2"/>
  <c r="P179" i="2"/>
  <c r="P191" i="2"/>
  <c r="P205" i="2"/>
  <c r="P217" i="2"/>
  <c r="P229" i="2"/>
  <c r="P241" i="2"/>
  <c r="P255" i="2"/>
  <c r="P267" i="2"/>
  <c r="P279" i="2"/>
  <c r="P291" i="2"/>
  <c r="P305" i="2"/>
  <c r="P317" i="2"/>
  <c r="P329" i="2"/>
  <c r="P341" i="2"/>
  <c r="P355" i="2"/>
  <c r="P367" i="2"/>
  <c r="P379" i="2"/>
  <c r="P391" i="2"/>
  <c r="P405" i="2"/>
  <c r="P417" i="2"/>
  <c r="P429" i="2"/>
  <c r="P441" i="2"/>
  <c r="P455" i="2"/>
  <c r="P466" i="2"/>
  <c r="P477" i="2"/>
  <c r="P488" i="2"/>
  <c r="P499" i="2"/>
  <c r="P510" i="2"/>
  <c r="P521" i="2"/>
  <c r="P532" i="2"/>
  <c r="P544" i="2"/>
  <c r="P555" i="2"/>
  <c r="P566" i="2"/>
  <c r="P577" i="2"/>
  <c r="P588" i="2"/>
  <c r="P599" i="2"/>
  <c r="P610" i="2"/>
  <c r="P621" i="2"/>
  <c r="P632" i="2"/>
  <c r="P644" i="2"/>
  <c r="P655" i="2"/>
  <c r="P666" i="2"/>
  <c r="P677" i="2"/>
  <c r="P688" i="2"/>
  <c r="P699" i="2"/>
  <c r="P710" i="2"/>
  <c r="P721" i="2"/>
  <c r="P732" i="2"/>
  <c r="P744" i="2"/>
  <c r="P755" i="2"/>
  <c r="P766" i="2"/>
  <c r="P777" i="2"/>
  <c r="P788" i="2"/>
  <c r="P799" i="2"/>
  <c r="P810" i="2"/>
  <c r="P821" i="2"/>
  <c r="P832" i="2"/>
  <c r="P844" i="2"/>
  <c r="P854" i="2"/>
  <c r="P864" i="2"/>
  <c r="P874" i="2"/>
  <c r="P884" i="2"/>
  <c r="P894" i="2"/>
  <c r="P904" i="2"/>
  <c r="P914" i="2"/>
  <c r="P924" i="2"/>
  <c r="P934" i="2"/>
  <c r="P944" i="2"/>
  <c r="P954" i="2"/>
  <c r="P964" i="2"/>
  <c r="P974" i="2"/>
  <c r="P984" i="2"/>
  <c r="P994" i="2"/>
  <c r="P6" i="2"/>
  <c r="P18" i="2"/>
  <c r="P30" i="2"/>
  <c r="P42" i="2"/>
  <c r="P56" i="2"/>
  <c r="P9" i="2"/>
  <c r="P21" i="2"/>
  <c r="P35" i="2"/>
  <c r="P47" i="2"/>
  <c r="P59" i="2"/>
  <c r="P71" i="2"/>
  <c r="P85" i="2"/>
  <c r="P97" i="2"/>
  <c r="P109" i="2"/>
  <c r="P121" i="2"/>
  <c r="P135" i="2"/>
  <c r="P147" i="2"/>
  <c r="P159" i="2"/>
  <c r="P171" i="2"/>
  <c r="P185" i="2"/>
  <c r="P197" i="2"/>
  <c r="P209" i="2"/>
  <c r="P221" i="2"/>
  <c r="P235" i="2"/>
  <c r="P247" i="2"/>
  <c r="P259" i="2"/>
  <c r="P271" i="2"/>
  <c r="P285" i="2"/>
  <c r="P297" i="2"/>
  <c r="P309" i="2"/>
  <c r="P321" i="2"/>
  <c r="P335" i="2"/>
  <c r="P347" i="2"/>
  <c r="P359" i="2"/>
  <c r="P371" i="2"/>
  <c r="P385" i="2"/>
  <c r="P397" i="2"/>
  <c r="P409" i="2"/>
  <c r="P421" i="2"/>
  <c r="P435" i="2"/>
  <c r="P447" i="2"/>
  <c r="P459" i="2"/>
  <c r="P470" i="2"/>
  <c r="P481" i="2"/>
  <c r="P492" i="2"/>
  <c r="P504" i="2"/>
  <c r="P515" i="2"/>
  <c r="P526" i="2"/>
  <c r="P537" i="2"/>
  <c r="P548" i="2"/>
  <c r="P559" i="2"/>
  <c r="P570" i="2"/>
  <c r="P581" i="2"/>
  <c r="P592" i="2"/>
  <c r="P604" i="2"/>
  <c r="P615" i="2"/>
  <c r="P626" i="2"/>
  <c r="P637" i="2"/>
  <c r="P648" i="2"/>
  <c r="P659" i="2"/>
  <c r="P670" i="2"/>
  <c r="P681" i="2"/>
  <c r="P692" i="2"/>
  <c r="P704" i="2"/>
  <c r="P715" i="2"/>
  <c r="P726" i="2"/>
  <c r="P737" i="2"/>
  <c r="P748" i="2"/>
  <c r="P759" i="2"/>
  <c r="P770" i="2"/>
  <c r="P781" i="2"/>
  <c r="P792" i="2"/>
  <c r="P804" i="2"/>
  <c r="P815" i="2"/>
  <c r="P826" i="2"/>
  <c r="P837" i="2"/>
  <c r="P848" i="2"/>
  <c r="P858" i="2"/>
  <c r="P868" i="2"/>
  <c r="P878" i="2"/>
  <c r="P888" i="2"/>
  <c r="P898" i="2"/>
  <c r="P908" i="2"/>
  <c r="P918" i="2"/>
  <c r="P928" i="2"/>
  <c r="P938" i="2"/>
  <c r="P948" i="2"/>
  <c r="P958" i="2"/>
  <c r="P968" i="2"/>
  <c r="P978" i="2"/>
  <c r="P7" i="2"/>
  <c r="P25" i="2"/>
  <c r="P40" i="2"/>
  <c r="P60" i="2"/>
  <c r="P76" i="2"/>
  <c r="P90" i="2"/>
  <c r="P107" i="2"/>
  <c r="P122" i="2"/>
  <c r="P138" i="2"/>
  <c r="P152" i="2"/>
  <c r="P169" i="2"/>
  <c r="P186" i="2"/>
  <c r="P200" i="2"/>
  <c r="P216" i="2"/>
  <c r="P231" i="2"/>
  <c r="P248" i="2"/>
  <c r="P262" i="2"/>
  <c r="P278" i="2"/>
  <c r="P295" i="2"/>
  <c r="P310" i="2"/>
  <c r="P326" i="2"/>
  <c r="P340" i="2"/>
  <c r="P357" i="2"/>
  <c r="P372" i="2"/>
  <c r="P388" i="2"/>
  <c r="P402" i="2"/>
  <c r="P419" i="2"/>
  <c r="P436" i="2"/>
  <c r="P450" i="2"/>
  <c r="P465" i="2"/>
  <c r="P479" i="2"/>
  <c r="P494" i="2"/>
  <c r="P507" i="2"/>
  <c r="P520" i="2"/>
  <c r="P535" i="2"/>
  <c r="P549" i="2"/>
  <c r="P562" i="2"/>
  <c r="P576" i="2"/>
  <c r="P590" i="2"/>
  <c r="P605" i="2"/>
  <c r="P618" i="2"/>
  <c r="P631" i="2"/>
  <c r="P646" i="2"/>
  <c r="P660" i="2"/>
  <c r="P674" i="2"/>
  <c r="P687" i="2"/>
  <c r="P701" i="2"/>
  <c r="P716" i="2"/>
  <c r="P729" i="2"/>
  <c r="P742" i="2"/>
  <c r="P757" i="2"/>
  <c r="P771" i="2"/>
  <c r="P785" i="2"/>
  <c r="P798" i="2"/>
  <c r="P812" i="2"/>
  <c r="P827" i="2"/>
  <c r="P840" i="2"/>
  <c r="P853" i="2"/>
  <c r="P866" i="2"/>
  <c r="P879" i="2"/>
  <c r="P891" i="2"/>
  <c r="P903" i="2"/>
  <c r="P916" i="2"/>
  <c r="P929" i="2"/>
  <c r="P941" i="2"/>
  <c r="P953" i="2"/>
  <c r="P966" i="2"/>
  <c r="P979" i="2"/>
  <c r="P990" i="2"/>
  <c r="P8" i="2"/>
  <c r="P26" i="2"/>
  <c r="P45" i="2"/>
  <c r="P61" i="2"/>
  <c r="P77" i="2"/>
  <c r="P92" i="2"/>
  <c r="P108" i="2"/>
  <c r="P125" i="2"/>
  <c r="P139" i="2"/>
  <c r="P156" i="2"/>
  <c r="P170" i="2"/>
  <c r="P187" i="2"/>
  <c r="P201" i="2"/>
  <c r="P218" i="2"/>
  <c r="P232" i="2"/>
  <c r="P249" i="2"/>
  <c r="P265" i="2"/>
  <c r="P280" i="2"/>
  <c r="P296" i="2"/>
  <c r="P311" i="2"/>
  <c r="P327" i="2"/>
  <c r="P342" i="2"/>
  <c r="P358" i="2"/>
  <c r="P375" i="2"/>
  <c r="P389" i="2"/>
  <c r="P406" i="2"/>
  <c r="P420" i="2"/>
  <c r="P437" i="2"/>
  <c r="P451" i="2"/>
  <c r="P467" i="2"/>
  <c r="P480" i="2"/>
  <c r="P495" i="2"/>
  <c r="P508" i="2"/>
  <c r="P522" i="2"/>
  <c r="P536" i="2"/>
  <c r="P550" i="2"/>
  <c r="P564" i="2"/>
  <c r="P578" i="2"/>
  <c r="P591" i="2"/>
  <c r="P606" i="2"/>
  <c r="P619" i="2"/>
  <c r="P634" i="2"/>
  <c r="P647" i="2"/>
  <c r="P661" i="2"/>
  <c r="P675" i="2"/>
  <c r="P689" i="2"/>
  <c r="P702" i="2"/>
  <c r="P717" i="2"/>
  <c r="P730" i="2"/>
  <c r="P745" i="2"/>
  <c r="P758" i="2"/>
  <c r="P772" i="2"/>
  <c r="P786" i="2"/>
  <c r="P800" i="2"/>
  <c r="P814" i="2"/>
  <c r="P828" i="2"/>
  <c r="P841" i="2"/>
  <c r="P855" i="2"/>
  <c r="P867" i="2"/>
  <c r="P880" i="2"/>
  <c r="P892" i="2"/>
  <c r="P905" i="2"/>
  <c r="P917" i="2"/>
  <c r="P930" i="2"/>
  <c r="P942" i="2"/>
  <c r="P955" i="2"/>
  <c r="P967" i="2"/>
  <c r="P980" i="2"/>
  <c r="P991" i="2"/>
  <c r="P2" i="2"/>
  <c r="P10" i="2"/>
  <c r="P27" i="2"/>
  <c r="P46" i="2"/>
  <c r="P62" i="2"/>
  <c r="P78" i="2"/>
  <c r="P95" i="2"/>
  <c r="P110" i="2"/>
  <c r="P126" i="2"/>
  <c r="P140" i="2"/>
  <c r="P157" i="2"/>
  <c r="P172" i="2"/>
  <c r="P188" i="2"/>
  <c r="P202" i="2"/>
  <c r="P219" i="2"/>
  <c r="P236" i="2"/>
  <c r="P250" i="2"/>
  <c r="P266" i="2"/>
  <c r="P281" i="2"/>
  <c r="P298" i="2"/>
  <c r="P312" i="2"/>
  <c r="P328" i="2"/>
  <c r="P345" i="2"/>
  <c r="P360" i="2"/>
  <c r="P376" i="2"/>
  <c r="P390" i="2"/>
  <c r="P407" i="2"/>
  <c r="P12" i="2"/>
  <c r="P31" i="2"/>
  <c r="P49" i="2"/>
  <c r="P66" i="2"/>
  <c r="P81" i="2"/>
  <c r="P98" i="2"/>
  <c r="P112" i="2"/>
  <c r="P128" i="2"/>
  <c r="P145" i="2"/>
  <c r="P160" i="2"/>
  <c r="P176" i="2"/>
  <c r="P190" i="2"/>
  <c r="P207" i="2"/>
  <c r="P222" i="2"/>
  <c r="P238" i="2"/>
  <c r="P252" i="2"/>
  <c r="P269" i="2"/>
  <c r="P286" i="2"/>
  <c r="P300" i="2"/>
  <c r="P316" i="2"/>
  <c r="P331" i="2"/>
  <c r="P348" i="2"/>
  <c r="P362" i="2"/>
  <c r="P378" i="2"/>
  <c r="P395" i="2"/>
  <c r="P410" i="2"/>
  <c r="P426" i="2"/>
  <c r="P440" i="2"/>
  <c r="P457" i="2"/>
  <c r="P471" i="2"/>
  <c r="P485" i="2"/>
  <c r="P498" i="2"/>
  <c r="P512" i="2"/>
  <c r="P527" i="2"/>
  <c r="P540" i="2"/>
  <c r="P554" i="2"/>
  <c r="P568" i="2"/>
  <c r="P582" i="2"/>
  <c r="P596" i="2"/>
  <c r="P609" i="2"/>
  <c r="P624" i="2"/>
  <c r="P638" i="2"/>
  <c r="P651" i="2"/>
  <c r="P665" i="2"/>
  <c r="P679" i="2"/>
  <c r="P694" i="2"/>
  <c r="P707" i="2"/>
  <c r="P720" i="2"/>
  <c r="P735" i="2"/>
  <c r="P749" i="2"/>
  <c r="P762" i="2"/>
  <c r="P776" i="2"/>
  <c r="P790" i="2"/>
  <c r="P805" i="2"/>
  <c r="P818" i="2"/>
  <c r="P831" i="2"/>
  <c r="P846" i="2"/>
  <c r="P859" i="2"/>
  <c r="P871" i="2"/>
  <c r="P883" i="2"/>
  <c r="P896" i="2"/>
  <c r="P909" i="2"/>
  <c r="P921" i="2"/>
  <c r="P933" i="2"/>
  <c r="P946" i="2"/>
  <c r="P959" i="2"/>
  <c r="P971" i="2"/>
  <c r="P983" i="2"/>
  <c r="P995" i="2"/>
  <c r="P15" i="2"/>
  <c r="P32" i="2"/>
  <c r="P50" i="2"/>
  <c r="P68" i="2"/>
  <c r="P82" i="2"/>
  <c r="P99" i="2"/>
  <c r="P115" i="2"/>
  <c r="P130" i="2"/>
  <c r="P146" i="2"/>
  <c r="P161" i="2"/>
  <c r="P177" i="2"/>
  <c r="P192" i="2"/>
  <c r="P208" i="2"/>
  <c r="P225" i="2"/>
  <c r="P239" i="2"/>
  <c r="P256" i="2"/>
  <c r="P270" i="2"/>
  <c r="P287" i="2"/>
  <c r="P301" i="2"/>
  <c r="P318" i="2"/>
  <c r="P332" i="2"/>
  <c r="P349" i="2"/>
  <c r="P365" i="2"/>
  <c r="P380" i="2"/>
  <c r="P396" i="2"/>
  <c r="P411" i="2"/>
  <c r="P427" i="2"/>
  <c r="P442" i="2"/>
  <c r="P458" i="2"/>
  <c r="P472" i="2"/>
  <c r="P486" i="2"/>
  <c r="P500" i="2"/>
  <c r="P514" i="2"/>
  <c r="P528" i="2"/>
  <c r="P541" i="2"/>
  <c r="P556" i="2"/>
  <c r="P569" i="2"/>
  <c r="P584" i="2"/>
  <c r="P597" i="2"/>
  <c r="P611" i="2"/>
  <c r="P625" i="2"/>
  <c r="P639" i="2"/>
  <c r="P652" i="2"/>
  <c r="P667" i="2"/>
  <c r="P680" i="2"/>
  <c r="P695" i="2"/>
  <c r="P708" i="2"/>
  <c r="P722" i="2"/>
  <c r="P736" i="2"/>
  <c r="P750" i="2"/>
  <c r="P764" i="2"/>
  <c r="P778" i="2"/>
  <c r="P791" i="2"/>
  <c r="P806" i="2"/>
  <c r="P819" i="2"/>
  <c r="P834" i="2"/>
  <c r="P847" i="2"/>
  <c r="P860" i="2"/>
  <c r="P872" i="2"/>
  <c r="P885" i="2"/>
  <c r="P897" i="2"/>
  <c r="P910" i="2"/>
  <c r="P922" i="2"/>
  <c r="P935" i="2"/>
  <c r="P947" i="2"/>
  <c r="P960" i="2"/>
  <c r="P972" i="2"/>
  <c r="P985" i="2"/>
  <c r="P996" i="2"/>
  <c r="P16" i="2"/>
  <c r="P36" i="2"/>
  <c r="P51" i="2"/>
  <c r="P69" i="2"/>
  <c r="P86" i="2"/>
  <c r="P100" i="2"/>
  <c r="P116" i="2"/>
  <c r="P131" i="2"/>
  <c r="P148" i="2"/>
  <c r="P162" i="2"/>
  <c r="P178" i="2"/>
  <c r="P195" i="2"/>
  <c r="P210" i="2"/>
  <c r="P226" i="2"/>
  <c r="P240" i="2"/>
  <c r="P257" i="2"/>
  <c r="P272" i="2"/>
  <c r="P288" i="2"/>
  <c r="P302" i="2"/>
  <c r="P319" i="2"/>
  <c r="P336" i="2"/>
  <c r="P350" i="2"/>
  <c r="P366" i="2"/>
  <c r="P381" i="2"/>
  <c r="P398" i="2"/>
  <c r="P412" i="2"/>
  <c r="P428" i="2"/>
  <c r="P445" i="2"/>
  <c r="P460" i="2"/>
  <c r="P474" i="2"/>
  <c r="P487" i="2"/>
  <c r="P501" i="2"/>
  <c r="P11" i="2"/>
  <c r="P57" i="2"/>
  <c r="P96" i="2"/>
  <c r="P136" i="2"/>
  <c r="P175" i="2"/>
  <c r="P212" i="2"/>
  <c r="P251" i="2"/>
  <c r="P290" i="2"/>
  <c r="P330" i="2"/>
  <c r="P369" i="2"/>
  <c r="P408" i="2"/>
  <c r="P439" i="2"/>
  <c r="P469" i="2"/>
  <c r="P497" i="2"/>
  <c r="P524" i="2"/>
  <c r="P546" i="2"/>
  <c r="P571" i="2"/>
  <c r="P594" i="2"/>
  <c r="P616" i="2"/>
  <c r="P640" i="2"/>
  <c r="P662" i="2"/>
  <c r="P685" i="2"/>
  <c r="P709" i="2"/>
  <c r="P731" i="2"/>
  <c r="P754" i="2"/>
  <c r="P779" i="2"/>
  <c r="P801" i="2"/>
  <c r="P824" i="2"/>
  <c r="P849" i="2"/>
  <c r="P869" i="2"/>
  <c r="P889" i="2"/>
  <c r="P911" i="2"/>
  <c r="P931" i="2"/>
  <c r="P951" i="2"/>
  <c r="P973" i="2"/>
  <c r="P992" i="2"/>
  <c r="P19" i="2"/>
  <c r="P58" i="2"/>
  <c r="P101" i="2"/>
  <c r="P137" i="2"/>
  <c r="P180" i="2"/>
  <c r="P215" i="2"/>
  <c r="P258" i="2"/>
  <c r="P292" i="2"/>
  <c r="P337" i="2"/>
  <c r="P370" i="2"/>
  <c r="P415" i="2"/>
  <c r="P446" i="2"/>
  <c r="P475" i="2"/>
  <c r="P502" i="2"/>
  <c r="P525" i="2"/>
  <c r="P547" i="2"/>
  <c r="P572" i="2"/>
  <c r="P595" i="2"/>
  <c r="P617" i="2"/>
  <c r="P641" i="2"/>
  <c r="P664" i="2"/>
  <c r="P686" i="2"/>
  <c r="P711" i="2"/>
  <c r="P734" i="2"/>
  <c r="P756" i="2"/>
  <c r="P780" i="2"/>
  <c r="P802" i="2"/>
  <c r="P825" i="2"/>
  <c r="P850" i="2"/>
  <c r="P870" i="2"/>
  <c r="P890" i="2"/>
  <c r="P912" i="2"/>
  <c r="P932" i="2"/>
  <c r="P952" i="2"/>
  <c r="P975" i="2"/>
  <c r="P993" i="2"/>
  <c r="P20" i="2"/>
  <c r="P65" i="2"/>
  <c r="P102" i="2"/>
  <c r="P142" i="2"/>
  <c r="P181" i="2"/>
  <c r="P220" i="2"/>
  <c r="P260" i="2"/>
  <c r="P299" i="2"/>
  <c r="P338" i="2"/>
  <c r="P377" i="2"/>
  <c r="P416" i="2"/>
  <c r="P448" i="2"/>
  <c r="P476" i="2"/>
  <c r="P505" i="2"/>
  <c r="P551" i="2"/>
  <c r="P598" i="2"/>
  <c r="P642" i="2"/>
  <c r="P690" i="2"/>
  <c r="P738" i="2"/>
  <c r="P807" i="2"/>
  <c r="P851" i="2"/>
  <c r="P893" i="2"/>
  <c r="P936" i="2"/>
  <c r="P976" i="2"/>
  <c r="P22" i="2"/>
  <c r="P106" i="2"/>
  <c r="P227" i="2"/>
  <c r="P261" i="2"/>
  <c r="P339" i="2"/>
  <c r="P449" i="2"/>
  <c r="P506" i="2"/>
  <c r="P552" i="2"/>
  <c r="P600" i="2"/>
  <c r="P645" i="2"/>
  <c r="P691" i="2"/>
  <c r="P739" i="2"/>
  <c r="P784" i="2"/>
  <c r="P830" i="2"/>
  <c r="P875" i="2"/>
  <c r="P915" i="2"/>
  <c r="P957" i="2"/>
  <c r="P977" i="2"/>
  <c r="P28" i="2"/>
  <c r="P111" i="2"/>
  <c r="P189" i="2"/>
  <c r="P268" i="2"/>
  <c r="P346" i="2"/>
  <c r="P422" i="2"/>
  <c r="P482" i="2"/>
  <c r="P531" i="2"/>
  <c r="P601" i="2"/>
  <c r="P649" i="2"/>
  <c r="P696" i="2"/>
  <c r="P740" i="2"/>
  <c r="P787" i="2"/>
  <c r="P835" i="2"/>
  <c r="P876" i="2"/>
  <c r="P919" i="2"/>
  <c r="P939" i="2"/>
  <c r="P981" i="2"/>
  <c r="P37" i="2"/>
  <c r="P118" i="2"/>
  <c r="P196" i="2"/>
  <c r="P275" i="2"/>
  <c r="P351" i="2"/>
  <c r="P456" i="2"/>
  <c r="P511" i="2"/>
  <c r="P558" i="2"/>
  <c r="P602" i="2"/>
  <c r="P650" i="2"/>
  <c r="P697" i="2"/>
  <c r="P767" i="2"/>
  <c r="P811" i="2"/>
  <c r="P857" i="2"/>
  <c r="P900" i="2"/>
  <c r="P920" i="2"/>
  <c r="P962" i="2"/>
  <c r="P1000" i="2"/>
  <c r="P80" i="2"/>
  <c r="P158" i="2"/>
  <c r="P237" i="2"/>
  <c r="P315" i="2"/>
  <c r="P392" i="2"/>
  <c r="P461" i="2"/>
  <c r="P516" i="2"/>
  <c r="P585" i="2"/>
  <c r="P629" i="2"/>
  <c r="P676" i="2"/>
  <c r="P746" i="2"/>
  <c r="P768" i="2"/>
  <c r="P816" i="2"/>
  <c r="P861" i="2"/>
  <c r="P901" i="2"/>
  <c r="P943" i="2"/>
  <c r="P986" i="2"/>
  <c r="P87" i="2"/>
  <c r="P529" i="2"/>
  <c r="P574" i="2"/>
  <c r="P620" i="2"/>
  <c r="P668" i="2"/>
  <c r="P712" i="2"/>
  <c r="P760" i="2"/>
  <c r="P782" i="2"/>
  <c r="P829" i="2"/>
  <c r="P873" i="2"/>
  <c r="P913" i="2"/>
  <c r="P956" i="2"/>
  <c r="P997" i="2"/>
  <c r="P70" i="2"/>
  <c r="P149" i="2"/>
  <c r="P182" i="2"/>
  <c r="P306" i="2"/>
  <c r="P382" i="2"/>
  <c r="P418" i="2"/>
  <c r="P478" i="2"/>
  <c r="P530" i="2"/>
  <c r="P575" i="2"/>
  <c r="P622" i="2"/>
  <c r="P669" i="2"/>
  <c r="P714" i="2"/>
  <c r="P761" i="2"/>
  <c r="P808" i="2"/>
  <c r="P852" i="2"/>
  <c r="P895" i="2"/>
  <c r="P937" i="2"/>
  <c r="P998" i="2"/>
  <c r="P72" i="2"/>
  <c r="P150" i="2"/>
  <c r="P228" i="2"/>
  <c r="P307" i="2"/>
  <c r="P386" i="2"/>
  <c r="P452" i="2"/>
  <c r="P509" i="2"/>
  <c r="P557" i="2"/>
  <c r="P579" i="2"/>
  <c r="P627" i="2"/>
  <c r="P671" i="2"/>
  <c r="P718" i="2"/>
  <c r="P765" i="2"/>
  <c r="P809" i="2"/>
  <c r="P856" i="2"/>
  <c r="P899" i="2"/>
  <c r="P961" i="2"/>
  <c r="P999" i="2"/>
  <c r="P75" i="2"/>
  <c r="P151" i="2"/>
  <c r="P230" i="2"/>
  <c r="P308" i="2"/>
  <c r="P387" i="2"/>
  <c r="P425" i="2"/>
  <c r="P484" i="2"/>
  <c r="P534" i="2"/>
  <c r="P580" i="2"/>
  <c r="P628" i="2"/>
  <c r="P672" i="2"/>
  <c r="P719" i="2"/>
  <c r="P741" i="2"/>
  <c r="P789" i="2"/>
  <c r="P836" i="2"/>
  <c r="P877" i="2"/>
  <c r="P940" i="2"/>
  <c r="P982" i="2"/>
  <c r="P38" i="2"/>
  <c r="P119" i="2"/>
  <c r="P198" i="2"/>
  <c r="P276" i="2"/>
  <c r="P352" i="2"/>
  <c r="P430" i="2"/>
  <c r="P489" i="2"/>
  <c r="P538" i="2"/>
  <c r="P560" i="2"/>
  <c r="P607" i="2"/>
  <c r="P654" i="2"/>
  <c r="P698" i="2"/>
  <c r="P724" i="2"/>
  <c r="P794" i="2"/>
  <c r="P838" i="2"/>
  <c r="P881" i="2"/>
  <c r="P923" i="2"/>
  <c r="P963" i="2"/>
  <c r="P39" i="2"/>
  <c r="P865" i="2"/>
  <c r="P725" i="2"/>
  <c r="P565" i="2"/>
  <c r="P368" i="2"/>
  <c r="P120" i="2"/>
  <c r="P863" i="2"/>
  <c r="P706" i="2"/>
  <c r="P561" i="2"/>
  <c r="P361" i="2"/>
  <c r="P89" i="2"/>
  <c r="P926" i="2"/>
  <c r="P862" i="2"/>
  <c r="P630" i="2"/>
  <c r="P545" i="2"/>
  <c r="P464" i="2"/>
  <c r="P356" i="2"/>
  <c r="P211" i="2"/>
  <c r="P88" i="2"/>
  <c r="P988" i="2"/>
  <c r="P925" i="2"/>
  <c r="P845" i="2"/>
  <c r="P774" i="2"/>
  <c r="P700" i="2"/>
  <c r="P614" i="2"/>
  <c r="P542" i="2"/>
  <c r="P462" i="2"/>
  <c r="P325" i="2"/>
  <c r="P206" i="2"/>
  <c r="P52" i="2"/>
  <c r="P902" i="2"/>
  <c r="P678" i="2"/>
  <c r="P431" i="2"/>
  <c r="P166" i="2"/>
  <c r="P965" i="2"/>
  <c r="P887" i="2"/>
  <c r="P820" i="2"/>
  <c r="P747" i="2"/>
  <c r="P658" i="2"/>
  <c r="P587" i="2"/>
  <c r="P517" i="2"/>
  <c r="P401" i="2"/>
  <c r="P282" i="2"/>
  <c r="P165" i="2"/>
  <c r="P950" i="2"/>
  <c r="P886" i="2"/>
  <c r="P817" i="2"/>
  <c r="P728" i="2"/>
  <c r="P657" i="2"/>
  <c r="P586" i="2"/>
  <c r="P496" i="2"/>
  <c r="P400" i="2"/>
  <c r="P277" i="2"/>
  <c r="P132" i="2"/>
  <c r="P949" i="2"/>
  <c r="P882" i="2"/>
  <c r="P797" i="2"/>
  <c r="P727" i="2"/>
  <c r="P656" i="2"/>
  <c r="P567" i="2"/>
  <c r="P491" i="2"/>
  <c r="P399" i="2"/>
  <c r="P246" i="2"/>
  <c r="P127" i="2"/>
  <c r="P945" i="2"/>
  <c r="P796" i="2"/>
  <c r="P636" i="2"/>
  <c r="P490" i="2"/>
  <c r="P245" i="2"/>
  <c r="P927" i="2"/>
  <c r="P795" i="2"/>
  <c r="P635" i="2"/>
  <c r="P468" i="2"/>
  <c r="P242" i="2"/>
  <c r="P989" i="2"/>
  <c r="P775" i="2"/>
  <c r="P705" i="2"/>
  <c r="P987" i="2"/>
  <c r="P907" i="2"/>
  <c r="P842" i="2"/>
  <c r="P769" i="2"/>
  <c r="P684" i="2"/>
  <c r="P612" i="2"/>
  <c r="P539" i="2"/>
  <c r="P438" i="2"/>
  <c r="P322" i="2"/>
  <c r="P199" i="2"/>
  <c r="P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D7FE28-30F8-44FD-8FA0-1EDE835F000F}" keepAlive="1" name="Query - Lab2_Dataset" description="Connection to the 'Lab2_Dataset' query in the workbook." type="5" refreshedVersion="8" background="1" saveData="1">
    <dbPr connection="Provider=Microsoft.Mashup.OleDb.1;Data Source=$Workbook$;Location=Lab2_Dataset;Extended Properties=&quot;&quot;" command="SELECT * FROM [Lab2_Dataset]"/>
  </connection>
  <connection id="2" xr16:uid="{7AC3560A-1B8A-47E8-976E-8511FDEC79CE}" keepAlive="1" name="Query - Lab2_Dataset (2)" description="Connection to the 'Lab2_Dataset (2)' query in the workbook." type="5" refreshedVersion="8" background="1" saveData="1">
    <dbPr connection="Provider=Microsoft.Mashup.OleDb.1;Data Source=$Workbook$;Location=&quot;Lab2_Dataset (2)&quot;;Extended Properties=&quot;&quot;" command="SELECT * FROM [Lab2_Dataset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<sst xmlns="http://schemas.openxmlformats.org/spreadsheetml/2006/main" count="10055" uniqueCount="2029">
  <si>
    <t>OrderID</t>
  </si>
  <si>
    <t>Customer Name</t>
  </si>
  <si>
    <t>Order Date</t>
  </si>
  <si>
    <t>Region</t>
  </si>
  <si>
    <t>Product</t>
  </si>
  <si>
    <t>Quantity</t>
  </si>
  <si>
    <t>Unit Price</t>
  </si>
  <si>
    <t>Revenue</t>
  </si>
  <si>
    <t>Status</t>
  </si>
  <si>
    <t>10f18311-568f-4c36-8304-7fa7c9008519</t>
  </si>
  <si>
    <t>Barbara Miller</t>
  </si>
  <si>
    <t>North</t>
  </si>
  <si>
    <t>Gadget X</t>
  </si>
  <si>
    <t xml:space="preserve">completed </t>
  </si>
  <si>
    <t>6150695e-60bd-4c11-a22e-0c23c1716c7a</t>
  </si>
  <si>
    <t>Rhonda Shaw</t>
  </si>
  <si>
    <t>Gadget Y</t>
  </si>
  <si>
    <t>In-Progress</t>
  </si>
  <si>
    <t>492896c7-f842-4dd7-ac33-0219cad804a8</t>
  </si>
  <si>
    <t>Linda Dixon</t>
  </si>
  <si>
    <t>EAST</t>
  </si>
  <si>
    <t>in progress</t>
  </si>
  <si>
    <t>004d64ee-1177-4e9e-9049-d0152a5bb206</t>
  </si>
  <si>
    <t>Margaret Koch</t>
  </si>
  <si>
    <t>Widget B</t>
  </si>
  <si>
    <t>4915e284-32e8-4e72-aa80-2ede9da6abb9</t>
  </si>
  <si>
    <t>George Allen</t>
  </si>
  <si>
    <t xml:space="preserve">south </t>
  </si>
  <si>
    <t>Widget A</t>
  </si>
  <si>
    <t>52e921cd-fb9b-4bc6-93d1-2a19a4dee107</t>
  </si>
  <si>
    <t>David Ramirez</t>
  </si>
  <si>
    <t>CANCELLED</t>
  </si>
  <si>
    <t>8cbdbba2-ffbb-4c8a-8161-ccbb398354f8</t>
  </si>
  <si>
    <t>Heather Tran</t>
  </si>
  <si>
    <t>nOrTh</t>
  </si>
  <si>
    <t>e85e3bc1-0df9-4300-93ed-a3846b99aaa2</t>
  </si>
  <si>
    <t>Shannon Stephens</t>
  </si>
  <si>
    <t>west</t>
  </si>
  <si>
    <t>Completed</t>
  </si>
  <si>
    <t>0c964db4-6eb5-4787-a0ea-6aa549c923ce</t>
  </si>
  <si>
    <t>Haley Ferguson</t>
  </si>
  <si>
    <t>9abf3c76-c1b8-4f32-9201-1147c21a5724</t>
  </si>
  <si>
    <t>Joseph Mitchell</t>
  </si>
  <si>
    <t>6be216b8-fa6c-4d5a-a01f-f1fba5bf41f3</t>
  </si>
  <si>
    <t>Steven Mcintosh</t>
  </si>
  <si>
    <t>48b0f939-d154-47ce-8964-deb489df3569</t>
  </si>
  <si>
    <t>Charles Martin</t>
  </si>
  <si>
    <t>Tool Z</t>
  </si>
  <si>
    <t>41990db7-ff55-422a-a54f-c8d95aaad418</t>
  </si>
  <si>
    <t>Hannah Salinas</t>
  </si>
  <si>
    <t>c37ba07d-6519-4e10-8bc3-f5daadd98dac</t>
  </si>
  <si>
    <t>George Taylor</t>
  </si>
  <si>
    <t xml:space="preserve">Cancelled </t>
  </si>
  <si>
    <t>9b9b21fe-ba7d-490f-a624-2b6a7045302c</t>
  </si>
  <si>
    <t>Nathaniel Mason</t>
  </si>
  <si>
    <t>b3983120-53fd-47de-b817-b02d3a06c446</t>
  </si>
  <si>
    <t>Patrick Nichols</t>
  </si>
  <si>
    <t>eeac2a87-746d-4e45-afd6-1098e6c5534b</t>
  </si>
  <si>
    <t>Taylor West MD</t>
  </si>
  <si>
    <t>c88dc4ac-f3af-4626-8b3b-2a1f52bf1b3b</t>
  </si>
  <si>
    <t>Andrea Roberts</t>
  </si>
  <si>
    <t>7e35781d-8376-443c-9d5b-2fa2b4034c5f</t>
  </si>
  <si>
    <t>Nicholas Jones</t>
  </si>
  <si>
    <t>2073630b-42f7-4ab0-a44f-7370c42134c1</t>
  </si>
  <si>
    <t>Eric Madden</t>
  </si>
  <si>
    <t>c2cef863-1fdc-404e-80d5-c8474e6f5896</t>
  </si>
  <si>
    <t>Brian Harris</t>
  </si>
  <si>
    <t>68ab7800-03c8-4685-9e66-39939785f333</t>
  </si>
  <si>
    <t>Blake Moreno</t>
  </si>
  <si>
    <t>South</t>
  </si>
  <si>
    <t>85f179fd-4b33-48e7-a7b5-efe10fca45ce</t>
  </si>
  <si>
    <t>Dean Martinez</t>
  </si>
  <si>
    <t>546e353c-7903-48fe-bba3-00673d542e9e</t>
  </si>
  <si>
    <t>Tina Barrett</t>
  </si>
  <si>
    <t>c28931fd-5957-4134-930e-d68ba32e9820</t>
  </si>
  <si>
    <t>Courtney Hodges</t>
  </si>
  <si>
    <t>8493cb61-b52c-4333-93bd-5a5b755d726a</t>
  </si>
  <si>
    <t>Jessica Hayes</t>
  </si>
  <si>
    <t>e4b7921e-59a7-435d-b560-74c42e48f6a7</t>
  </si>
  <si>
    <t>Samantha Khan</t>
  </si>
  <si>
    <t>c2723eb3-18d5-460f-93cc-2142c5188806</t>
  </si>
  <si>
    <t>Kelly Thomas</t>
  </si>
  <si>
    <t>102613ae-de4e-4006-a7cc-bb77c8bc07a4</t>
  </si>
  <si>
    <t>Regina Peterson</t>
  </si>
  <si>
    <t>be2c6d46-eb3f-4ad5-bb1a-43aa3f31aa80</t>
  </si>
  <si>
    <t>Grant Gonzalez</t>
  </si>
  <si>
    <t>b4b9fd43-b51c-439b-ae8f-c3375163abd2</t>
  </si>
  <si>
    <t>Eric Miller</t>
  </si>
  <si>
    <t>ac4b3c56-418f-46c2-a9de-1a529615e530</t>
  </si>
  <si>
    <t>Daniel Long</t>
  </si>
  <si>
    <t>a96adfe5-63f3-4a7d-b398-bcdd7baed250</t>
  </si>
  <si>
    <t>Michael Cummings</t>
  </si>
  <si>
    <t>c1b9ba73-6e0b-4bbd-ac03-8cfe540e6c43</t>
  </si>
  <si>
    <t>Teresa Underwood</t>
  </si>
  <si>
    <t>4fe8b68c-5612-4696-84f0-093c55b68c10</t>
  </si>
  <si>
    <t>Joy Villa</t>
  </si>
  <si>
    <t>18e53d60-0d5b-4c4b-a78b-40fb30399563</t>
  </si>
  <si>
    <t>Rachel Daniel</t>
  </si>
  <si>
    <t>bbdcd228-8b23-428c-a6a5-946cdaa05472</t>
  </si>
  <si>
    <t>Kevin Johnson</t>
  </si>
  <si>
    <t>fc7a2504-e601-4956-92c0-d3b2bc0e7990</t>
  </si>
  <si>
    <t>Dylan Forbes</t>
  </si>
  <si>
    <t>6596dcfd-b283-4f12-9025-1289c934b714</t>
  </si>
  <si>
    <t>Anthony Wright</t>
  </si>
  <si>
    <t>8a89af22-0a27-44b0-8819-d55c3c84b57e</t>
  </si>
  <si>
    <t>Benjamin Anderson</t>
  </si>
  <si>
    <t>9b90b0ae-7f18-4fde-8564-08be3e76183f</t>
  </si>
  <si>
    <t>Elizabeth Holmes</t>
  </si>
  <si>
    <t>35300694-76eb-43ee-bdcb-7eafbd89603b</t>
  </si>
  <si>
    <t>Jerome Kelley</t>
  </si>
  <si>
    <t>476c10c7-a971-4dc0-8e9b-d664f68808cf</t>
  </si>
  <si>
    <t>Holly Silva</t>
  </si>
  <si>
    <t>c858f846-3c5c-4df3-af9d-caf4aff452a7</t>
  </si>
  <si>
    <t>Francisco Day</t>
  </si>
  <si>
    <t>6eed1a2e-8099-4646-8cf7-b12229c85d9b</t>
  </si>
  <si>
    <t>Darrell King</t>
  </si>
  <si>
    <t>885ccf6e-c491-4502-8fa6-e396645bd070</t>
  </si>
  <si>
    <t>Amber Roberts</t>
  </si>
  <si>
    <t>a57c1409-657b-476f-9722-6b456f3f065f</t>
  </si>
  <si>
    <t>Chad Taylor</t>
  </si>
  <si>
    <t>68f0ee8c-e9ab-4a0c-bb17-024683de1a18</t>
  </si>
  <si>
    <t>Megan Taylor</t>
  </si>
  <si>
    <t>9722965f-23a8-4340-bce7-4ff70a1b2263</t>
  </si>
  <si>
    <t>Joshua Robinson</t>
  </si>
  <si>
    <t>3bdc0296-eb07-4034-ad74-7720a15a8925</t>
  </si>
  <si>
    <t>Pamela Santos</t>
  </si>
  <si>
    <t>dd599942-a35e-4872-b67f-b8f4b193ab46</t>
  </si>
  <si>
    <t>Robyn Lopez</t>
  </si>
  <si>
    <t>969e6000-01b9-4c84-89ef-f884cad1a453</t>
  </si>
  <si>
    <t>Daniel Smith</t>
  </si>
  <si>
    <t>86234fab-6f78-471b-a7d1-c79e5df9f1d5</t>
  </si>
  <si>
    <t>Michael Simmons</t>
  </si>
  <si>
    <t>19c5f0f1-e22b-4a3c-9091-bcb9d5855ec4</t>
  </si>
  <si>
    <t>Jessica Murillo</t>
  </si>
  <si>
    <t>78446b9b-2b03-4297-82be-697dfd9f8d0f</t>
  </si>
  <si>
    <t>Larry Nguyen</t>
  </si>
  <si>
    <t>be9cc3ce-990f-4ec0-b80c-87a1c80c73ab</t>
  </si>
  <si>
    <t>Mark White</t>
  </si>
  <si>
    <t>fc000c8e-776a-40d7-8977-f3311f54d892</t>
  </si>
  <si>
    <t>Stephanie Reed MD</t>
  </si>
  <si>
    <t>e3ac4241-5c4e-4399-a716-f11ad2082e6f</t>
  </si>
  <si>
    <t>Robert Cook</t>
  </si>
  <si>
    <t>7e70c22d-0b43-412e-ba5a-437a8336d832</t>
  </si>
  <si>
    <t>Judith Reid DVM</t>
  </si>
  <si>
    <t>d7cea8e1-9408-452a-a530-48f3442fc10b</t>
  </si>
  <si>
    <t>Steve Soto</t>
  </si>
  <si>
    <t>9aab8b61-1dec-48f9-ab20-6a1d5539069a</t>
  </si>
  <si>
    <t>Robert Bird</t>
  </si>
  <si>
    <t>9b5087ac-60a0-400a-bf93-8997ceabf2f8</t>
  </si>
  <si>
    <t>Gary Martinez</t>
  </si>
  <si>
    <t>dc1c1b49-db4a-4bf0-bf43-0b6093142e09</t>
  </si>
  <si>
    <t>Sean Castillo</t>
  </si>
  <si>
    <t>9367a989-f22e-40ba-a93b-a356817e1220</t>
  </si>
  <si>
    <t>Joseph Velazquez</t>
  </si>
  <si>
    <t>ace558df-97aa-4442-bb5a-46d0404ac562</t>
  </si>
  <si>
    <t>Dwayne Santos</t>
  </si>
  <si>
    <t>d4aaf574-cc35-460e-b0cd-a1d21bb28400</t>
  </si>
  <si>
    <t>Dr. Charles Stewart</t>
  </si>
  <si>
    <t>e8d3f633-d8bd-4fcb-90da-0b08c34c3b63</t>
  </si>
  <si>
    <t>Roberta Jordan</t>
  </si>
  <si>
    <t>43f0bfba-7b74-4fa1-8e30-05db58a13c0d</t>
  </si>
  <si>
    <t>Courtney Terry MD</t>
  </si>
  <si>
    <t>f91cd881-9d2f-4142-8e82-e1563af7fb8a</t>
  </si>
  <si>
    <t>Maria Garcia</t>
  </si>
  <si>
    <t>0474b60b-deac-4e35-9b2d-d7e82d9baa0a</t>
  </si>
  <si>
    <t>Karen Bennett</t>
  </si>
  <si>
    <t>13b2b74a-f5b3-4d54-a3d2-7eebc1734381</t>
  </si>
  <si>
    <t>Ashley Hughes</t>
  </si>
  <si>
    <t>7a8985bf-58b6-4665-ba17-412780c6b041</t>
  </si>
  <si>
    <t>Gregory Carlson</t>
  </si>
  <si>
    <t>a31c5cb2-b2d4-4cd6-bb83-f8f3f2b5fbd4</t>
  </si>
  <si>
    <t>Deanna Garrison</t>
  </si>
  <si>
    <t>9d478157-81b4-412e-9845-b3163c8e5d39</t>
  </si>
  <si>
    <t>Ashley Davis</t>
  </si>
  <si>
    <t>38617444-32b3-495c-baf5-ef872c175056</t>
  </si>
  <si>
    <t>Omar Sanchez</t>
  </si>
  <si>
    <t>7dc817d0-c02a-4d97-9a56-3810fd6da3fb</t>
  </si>
  <si>
    <t>Michael Aguilar</t>
  </si>
  <si>
    <t>b6876a29-ed9a-4ff1-9205-374fce0147cd</t>
  </si>
  <si>
    <t>Angela Thompson</t>
  </si>
  <si>
    <t>a66563ef-3faa-4cbb-87d4-4cf884f171a0</t>
  </si>
  <si>
    <t>Larry Thomas Jr.</t>
  </si>
  <si>
    <t>e90c24ed-10ad-4270-a657-173fe386f6c9</t>
  </si>
  <si>
    <t>Raymond Harrison</t>
  </si>
  <si>
    <t>ce4ba8d4-4078-4ada-956f-8ce740ba58dc</t>
  </si>
  <si>
    <t>Kenneth Vega</t>
  </si>
  <si>
    <t>346ac967-90f6-4c72-83d2-ef872c848f7c</t>
  </si>
  <si>
    <t>George Clark</t>
  </si>
  <si>
    <t>0826446f-fbfe-49b5-b491-25d3e946778e</t>
  </si>
  <si>
    <t>George Tucker</t>
  </si>
  <si>
    <t>a2e1b784-b582-449b-8b25-ddf90ced7345</t>
  </si>
  <si>
    <t>Eric Wood</t>
  </si>
  <si>
    <t>efdbe47a-c817-413f-b7fb-03e07c75c46d</t>
  </si>
  <si>
    <t>Charlene Martinez</t>
  </si>
  <si>
    <t>8dc608be-e47e-44b4-b3c4-33ad9b5ec2e7</t>
  </si>
  <si>
    <t>Justin Jenkins</t>
  </si>
  <si>
    <t>274e8716-f815-4471-aba1-6218ef44c7b5</t>
  </si>
  <si>
    <t>Andrew Johnson</t>
  </si>
  <si>
    <t>c2be768a-ed5f-46f0-a9b4-0076633096e5</t>
  </si>
  <si>
    <t>Troy Hodge</t>
  </si>
  <si>
    <t>67bd3fa1-3e32-46c9-84b7-ecdd0afb1487</t>
  </si>
  <si>
    <t>Laura Hamilton</t>
  </si>
  <si>
    <t>c49bc00c-4de4-40f9-8388-2b88655116e0</t>
  </si>
  <si>
    <t>Paul Lee</t>
  </si>
  <si>
    <t>c70e762c-3644-4b05-9bdf-be1e21a632fa</t>
  </si>
  <si>
    <t>Joseph Gaines</t>
  </si>
  <si>
    <t>737d2fdc-8af9-41dc-8989-12ec76667f6a</t>
  </si>
  <si>
    <t>Oscar Williams</t>
  </si>
  <si>
    <t>2d70fe89-75b5-48bd-8ee2-3ad0696516d5</t>
  </si>
  <si>
    <t>Andres Graves</t>
  </si>
  <si>
    <t>655c1f6c-9a0b-4874-ad08-f0ecd2a3efec</t>
  </si>
  <si>
    <t>Angela Nunez</t>
  </si>
  <si>
    <t>fedf95b7-1ec3-43a6-a639-2223a9470a9b</t>
  </si>
  <si>
    <t>Leah Jones</t>
  </si>
  <si>
    <t>c3c83e80-b16e-41be-961d-005a2faf85e9</t>
  </si>
  <si>
    <t>Susan Lee</t>
  </si>
  <si>
    <t>36ada7fe-d175-4409-925e-38a5066995e5</t>
  </si>
  <si>
    <t>Travis Black</t>
  </si>
  <si>
    <t>e3ae3a14-ab92-4dce-b434-3d90f5f4cc17</t>
  </si>
  <si>
    <t>Alyssa Giles</t>
  </si>
  <si>
    <t>0abacc05-2fb2-4bd4-a089-e267b67ade1a</t>
  </si>
  <si>
    <t>Linda Mcmillan</t>
  </si>
  <si>
    <t>71def0f6-3bfc-4415-972d-2c0b578ca309</t>
  </si>
  <si>
    <t>Shannon Miranda</t>
  </si>
  <si>
    <t>6e083b6e-af40-4c6f-8340-84c85836bedf</t>
  </si>
  <si>
    <t>James Taylor</t>
  </si>
  <si>
    <t>179afa59-7b7c-4221-a950-46623c70dee7</t>
  </si>
  <si>
    <t>Joshua Martin</t>
  </si>
  <si>
    <t>fb4af4ee-0f6c-4cde-89f3-cd45d87c8aa8</t>
  </si>
  <si>
    <t>Clinton Thompson</t>
  </si>
  <si>
    <t>f61e726d-dbca-4271-82e8-d8d76b399a0e</t>
  </si>
  <si>
    <t>Nathan Evans</t>
  </si>
  <si>
    <t>64281938-b486-4ee8-9727-edc9c839316a</t>
  </si>
  <si>
    <t>Jessica Reed</t>
  </si>
  <si>
    <t>9b86799c-302a-45f8-9ac1-cccef77ddf19</t>
  </si>
  <si>
    <t>Brent Ford</t>
  </si>
  <si>
    <t>56fbd097-eed6-40d9-9d4c-660d11dc4f86</t>
  </si>
  <si>
    <t>Rhonda Warren</t>
  </si>
  <si>
    <t>b6ab723d-8fba-4a19-b292-bbab7c8745e4</t>
  </si>
  <si>
    <t>Vicki Padilla</t>
  </si>
  <si>
    <t>86a55943-a9f3-48ef-808a-2da8ba028d39</t>
  </si>
  <si>
    <t>Hannah Dennis</t>
  </si>
  <si>
    <t>c12b3f66-6254-473a-b19c-f6f36649b931</t>
  </si>
  <si>
    <t>Rebecca Nguyen</t>
  </si>
  <si>
    <t>ea382186-6897-498f-bca8-f83f01793406</t>
  </si>
  <si>
    <t>Lauren Scott</t>
  </si>
  <si>
    <t>1ddd5ddc-6f5d-4ca8-8a67-29b430700de9</t>
  </si>
  <si>
    <t>Amanda Freeman</t>
  </si>
  <si>
    <t>6479024f-8f2c-4cab-ad57-be5efd43d48e</t>
  </si>
  <si>
    <t>Sandra Davis</t>
  </si>
  <si>
    <t>763d00dc-c22a-43ca-a769-cf10bcd24ade</t>
  </si>
  <si>
    <t>Angela Klein MD</t>
  </si>
  <si>
    <t>9b36360c-e7f2-4218-95f9-e5399b05a38d</t>
  </si>
  <si>
    <t>Robert Palmer</t>
  </si>
  <si>
    <t>e4fb86bb-dec8-4ee2-8499-62419e166dbe</t>
  </si>
  <si>
    <t>Brittany Murray</t>
  </si>
  <si>
    <t>34d3ceb3-813d-4986-814a-6aec29eb8505</t>
  </si>
  <si>
    <t>Brandy Green</t>
  </si>
  <si>
    <t>e9faa16f-c70f-46a0-8d41-f06cc99132fe</t>
  </si>
  <si>
    <t>Nathan Mcguire</t>
  </si>
  <si>
    <t>0e89ba05-f445-4bdd-9882-e0d07449234d</t>
  </si>
  <si>
    <t>Holly Floyd</t>
  </si>
  <si>
    <t>564b5ec2-4898-436c-bb8d-a1cabfb0e65e</t>
  </si>
  <si>
    <t>Charles Fleming</t>
  </si>
  <si>
    <t>d369af3d-9092-4818-bf9a-27c9b8b00397</t>
  </si>
  <si>
    <t>Michael Gill</t>
  </si>
  <si>
    <t>972aa8e3-cb84-4e29-9359-a141494be9ef</t>
  </si>
  <si>
    <t>Jose Gross</t>
  </si>
  <si>
    <t>05ee0262-132a-4390-a974-cfb9f4b7f367</t>
  </si>
  <si>
    <t>Carolyn Bean MD</t>
  </si>
  <si>
    <t>99918fa8-0e2c-4237-8f04-63a73564f190</t>
  </si>
  <si>
    <t>Justin Anthony</t>
  </si>
  <si>
    <t>b56cd489-c0a7-431a-8e2e-764f7780d2d9</t>
  </si>
  <si>
    <t>James Phillips</t>
  </si>
  <si>
    <t>485a7576-8cd4-49ec-9c26-01a0c0e2e118</t>
  </si>
  <si>
    <t>Jessica Simpson</t>
  </si>
  <si>
    <t>56c7c4e8-1d29-4cac-aa43-6721f3e921fa</t>
  </si>
  <si>
    <t>James Hamilton</t>
  </si>
  <si>
    <t>7248dd0a-34ac-4a66-893c-b48e109431a4</t>
  </si>
  <si>
    <t>Emily Robinson</t>
  </si>
  <si>
    <t>05b75cd1-32a7-479a-b873-4c8d3de65f2b</t>
  </si>
  <si>
    <t>William Sutton</t>
  </si>
  <si>
    <t>d7650396-35ae-47a8-8f9f-fb0e24f7c097</t>
  </si>
  <si>
    <t>Eugene Smith</t>
  </si>
  <si>
    <t>9635436d-964c-4c58-be78-5803ea9ac91b</t>
  </si>
  <si>
    <t>Kurt Tran</t>
  </si>
  <si>
    <t>48ab3468-faeb-4571-86d3-aa87f32cb3b2</t>
  </si>
  <si>
    <t>Rachel Avila</t>
  </si>
  <si>
    <t>99ff95ec-d48f-46b2-b17b-24956769eabe</t>
  </si>
  <si>
    <t>cb3875ff-47b7-4710-821d-fa9689e7eab7</t>
  </si>
  <si>
    <t>Amy Mclaughlin</t>
  </si>
  <si>
    <t>794033ea-9003-4814-849f-cca69dce00b6</t>
  </si>
  <si>
    <t>Melissa Jones</t>
  </si>
  <si>
    <t>625ac28a-8fee-4664-8cd2-34a3b71d6451</t>
  </si>
  <si>
    <t>Kelly Sloan</t>
  </si>
  <si>
    <t>2ce5bf0b-0614-40cf-ac7c-12373bee0133</t>
  </si>
  <si>
    <t>Derrick Brown IV</t>
  </si>
  <si>
    <t>1d68ed5c-1dc2-4c3c-b7d5-05c965632419</t>
  </si>
  <si>
    <t>Brian Boyd</t>
  </si>
  <si>
    <t>fecb50d1-2cf1-49af-818a-90078cedba2d</t>
  </si>
  <si>
    <t>Renee Mcpherson</t>
  </si>
  <si>
    <t>35d8e01f-7845-4831-b747-403604c48320</t>
  </si>
  <si>
    <t>Michael Campbell</t>
  </si>
  <si>
    <t>93e580f9-bc86-4ce5-86d5-033ff9266230</t>
  </si>
  <si>
    <t>Darlene Freeman</t>
  </si>
  <si>
    <t>30b351f7-d115-42da-81c2-496242ea466e</t>
  </si>
  <si>
    <t>Kimberly Boyd</t>
  </si>
  <si>
    <t>2d137071-b890-41ea-8cb1-b147415aa482</t>
  </si>
  <si>
    <t>Rebecca Hunt</t>
  </si>
  <si>
    <t>4cef757c-48b5-4824-93e9-9f107dcf61cf</t>
  </si>
  <si>
    <t>Jacob Turner</t>
  </si>
  <si>
    <t>2e890b2c-fa45-4d1f-a7d1-4eb57e9ec25a</t>
  </si>
  <si>
    <t>Katelyn Reed</t>
  </si>
  <si>
    <t>a04c54f2-269b-4bdc-a225-cc9dbb0a2d34</t>
  </si>
  <si>
    <t>Anthony Simpson</t>
  </si>
  <si>
    <t>edfb9996-9462-4091-88d7-9b66666f4801</t>
  </si>
  <si>
    <t>Christopher Fox</t>
  </si>
  <si>
    <t>048b36c4-e498-47db-a5fc-910ee570c945</t>
  </si>
  <si>
    <t>Madison Mayo</t>
  </si>
  <si>
    <t>206c7c92-ed53-441e-bd25-7c38888d6a96</t>
  </si>
  <si>
    <t>Amy Thompson</t>
  </si>
  <si>
    <t>fd355156-887f-4115-8236-77a0f22007f7</t>
  </si>
  <si>
    <t>John Torres</t>
  </si>
  <si>
    <t>a378ba26-ea54-4ed8-a60e-ee23a9eefe7a</t>
  </si>
  <si>
    <t>Michelle Martin</t>
  </si>
  <si>
    <t>913a411a-7448-428e-8401-03507a7bc90a</t>
  </si>
  <si>
    <t>Tasha Norton</t>
  </si>
  <si>
    <t>20fcb0a0-23c5-4217-9a8f-e10f8290a373</t>
  </si>
  <si>
    <t>Amanda Wolf</t>
  </si>
  <si>
    <t>b87a6633-f2ca-44f5-b1d3-1373e2dd9704</t>
  </si>
  <si>
    <t>Joy Perez</t>
  </si>
  <si>
    <t>50fbd5f8-66cc-4f2b-bde5-0222536284a7</t>
  </si>
  <si>
    <t>Victoria Jackson</t>
  </si>
  <si>
    <t>c983419f-a231-48ac-b879-2ed489b05460</t>
  </si>
  <si>
    <t>Alexander Nguyen</t>
  </si>
  <si>
    <t>12bc3c09-fc84-4aa3-aa18-10928ef39e37</t>
  </si>
  <si>
    <t>Joanna Murphy</t>
  </si>
  <si>
    <t>6f64d813-ba4f-423b-8f6a-796008a0ae36</t>
  </si>
  <si>
    <t>Beth Woodard</t>
  </si>
  <si>
    <t>eae10a42-e11f-4f08-b378-3a52224b2215</t>
  </si>
  <si>
    <t>Allison Cruz</t>
  </si>
  <si>
    <t>93b2d5c8-404f-4fd6-aefb-2fa3847911f1</t>
  </si>
  <si>
    <t>Andrew Griffith</t>
  </si>
  <si>
    <t>da047a22-2ff5-44b6-a6b6-eed8fcea5ea9</t>
  </si>
  <si>
    <t>Hannah Watson</t>
  </si>
  <si>
    <t>f21255fc-10ed-458a-b243-c375739f580f</t>
  </si>
  <si>
    <t>Jerome Williams</t>
  </si>
  <si>
    <t>ffe4f4e2-47ce-4017-b9ce-3aadd815ae22</t>
  </si>
  <si>
    <t>Chris Sanders</t>
  </si>
  <si>
    <t>f6b57ca8-49a9-4d72-82ed-17a1133ee5b9</t>
  </si>
  <si>
    <t>David Gomez</t>
  </si>
  <si>
    <t>415e698a-dd32-4e7d-9dc3-d50c3e3ebe9a</t>
  </si>
  <si>
    <t>Bryan Scott</t>
  </si>
  <si>
    <t>ca3cbe7c-461f-46b2-8ccd-27a237f37489</t>
  </si>
  <si>
    <t>Marilyn Curtis</t>
  </si>
  <si>
    <t>cf92936d-2396-4943-b67a-87aaaa9c73a4</t>
  </si>
  <si>
    <t>Donna Bridges</t>
  </si>
  <si>
    <t>5d4821bf-7505-4895-8b7e-9aa618bfd659</t>
  </si>
  <si>
    <t>Edward Rogers</t>
  </si>
  <si>
    <t>5e1dfb0a-42bc-4a2a-9175-7fe2a7c5f3c8</t>
  </si>
  <si>
    <t>Daniel Vazquez</t>
  </si>
  <si>
    <t>019dc047-d622-47b4-9cfe-77b17da076f0</t>
  </si>
  <si>
    <t>Leslie Jackson</t>
  </si>
  <si>
    <t>1bdcd695-a345-45ee-9402-99c68da87929</t>
  </si>
  <si>
    <t>Kenneth Scott</t>
  </si>
  <si>
    <t>b241f570-dfa6-4606-9201-e82940bef1fd</t>
  </si>
  <si>
    <t>Brett Boyd</t>
  </si>
  <si>
    <t>1b59153f-dc53-423e-861a-ae85452aac12</t>
  </si>
  <si>
    <t>Angela Lam</t>
  </si>
  <si>
    <t>ec5a6686-1a7a-4529-8e98-182704fcea02</t>
  </si>
  <si>
    <t>Richard Rich</t>
  </si>
  <si>
    <t>1e435e96-880f-41f6-a257-a6666ee29eeb</t>
  </si>
  <si>
    <t>Elizabeth Thompson</t>
  </si>
  <si>
    <t>79f07a4d-0c37-46ed-8681-779fd3c630f4</t>
  </si>
  <si>
    <t>James Lynn</t>
  </si>
  <si>
    <t>8c2572fe-94d8-42a4-9f2d-864bcb7a9e30</t>
  </si>
  <si>
    <t>Jacob Cervantes</t>
  </si>
  <si>
    <t>22bdf058-827e-4c1d-b920-b187541ae79d</t>
  </si>
  <si>
    <t>Tammie Ross</t>
  </si>
  <si>
    <t>ce8de62e-c17a-45d6-b40b-92191a6fb84c</t>
  </si>
  <si>
    <t>Brittney Cole</t>
  </si>
  <si>
    <t>0e00c6ff-a84a-4c9b-9a5a-8e0ae7f82e24</t>
  </si>
  <si>
    <t>Adrienne Norman</t>
  </si>
  <si>
    <t>d7b2a589-121c-49ba-9e5a-006fd6ea6de8</t>
  </si>
  <si>
    <t>Priscilla Sullivan</t>
  </si>
  <si>
    <t>a3291915-bf65-45e6-9294-8a67769d0bce</t>
  </si>
  <si>
    <t>Jennifer Scott</t>
  </si>
  <si>
    <t>8e587fa5-b628-4f70-a398-5c963eb2273d</t>
  </si>
  <si>
    <t>James Alvarez</t>
  </si>
  <si>
    <t>178e3185-c146-46c2-90f8-36dd9a00e01e</t>
  </si>
  <si>
    <t>Kyle Howard</t>
  </si>
  <si>
    <t>621ca3c3-9921-4de6-b97d-bc6b16bdf1ad</t>
  </si>
  <si>
    <t>Andrew Martinez</t>
  </si>
  <si>
    <t>5720c219-9823-47cd-b943-be6966c3e9b8</t>
  </si>
  <si>
    <t>Adam Johnson</t>
  </si>
  <si>
    <t>5cbb105f-b635-45a6-9176-d83c49661639</t>
  </si>
  <si>
    <t>Henry Burke</t>
  </si>
  <si>
    <t>11b0a5e1-4aed-4bf0-b2cd-4d8fdb11ad84</t>
  </si>
  <si>
    <t>Faith Bradley</t>
  </si>
  <si>
    <t>f9a2e362-4f72-4361-9d2f-0df1255a480d</t>
  </si>
  <si>
    <t>Nicholas Spencer</t>
  </si>
  <si>
    <t>1746c7d9-4721-4df6-9cf5-1c8de0705547</t>
  </si>
  <si>
    <t>Robin Rogers</t>
  </si>
  <si>
    <t>8129a273-7c85-4b87-86c6-86019d41483f</t>
  </si>
  <si>
    <t>Christine Herring</t>
  </si>
  <si>
    <t>cb70f3c6-7e31-4f93-8215-22226ebd7289</t>
  </si>
  <si>
    <t>Kathryn Brown</t>
  </si>
  <si>
    <t>9030f2c0-c97f-48df-9fbe-4b7d8b9bb007</t>
  </si>
  <si>
    <t>Linda Proctor</t>
  </si>
  <si>
    <t>8ef83c57-6204-46f9-ba66-77648991d960</t>
  </si>
  <si>
    <t>Miguel Lewis</t>
  </si>
  <si>
    <t>fe79662a-ddae-4453-a665-2c67e93ac5aa</t>
  </si>
  <si>
    <t>Jacqueline Berry</t>
  </si>
  <si>
    <t>c589146b-b3b1-4dce-9151-6f6e12ca447f</t>
  </si>
  <si>
    <t>Barbara Dickerson</t>
  </si>
  <si>
    <t>210497b9-a966-44fe-a0b4-892927359e54</t>
  </si>
  <si>
    <t>Bryan Russell</t>
  </si>
  <si>
    <t>6beafcc6-a36b-4312-b592-56eef28fa0c0</t>
  </si>
  <si>
    <t>Samuel Daniels</t>
  </si>
  <si>
    <t>b2aeccf0-32cc-4262-b222-c7474f3040cb</t>
  </si>
  <si>
    <t>Kristopher Jones</t>
  </si>
  <si>
    <t>1d32f1b6-b665-4a39-a7a5-b8869db9fd4e</t>
  </si>
  <si>
    <t>James Monroe</t>
  </si>
  <si>
    <t>d48c5b3f-0e35-4134-8d39-44b4b8c54e82</t>
  </si>
  <si>
    <t>Marco Lewis</t>
  </si>
  <si>
    <t>f7d0e8fe-f4c9-4e0e-97cf-6cc61acb711b</t>
  </si>
  <si>
    <t>Kimberly Gonzalez</t>
  </si>
  <si>
    <t>c0441b85-00e0-4293-a294-a120b2e08b1a</t>
  </si>
  <si>
    <t>Dave Perez</t>
  </si>
  <si>
    <t>a824b667-7625-42e3-be73-9e73ab342183</t>
  </si>
  <si>
    <t>Dylan Moore</t>
  </si>
  <si>
    <t>dbbe7333-62f9-48fc-a33c-d25bf8b94f7d</t>
  </si>
  <si>
    <t>Jeremy Black</t>
  </si>
  <si>
    <t>2c9da871-e2e4-4e8f-9c72-e21824182a69</t>
  </si>
  <si>
    <t>Katherine Shaw</t>
  </si>
  <si>
    <t>46ca0dac-8210-4811-b628-06c45b277c1e</t>
  </si>
  <si>
    <t>Christopher Torres</t>
  </si>
  <si>
    <t>1db2bacf-2f59-4441-9360-5953afd404c9</t>
  </si>
  <si>
    <t>Tiffany Holland</t>
  </si>
  <si>
    <t>89d1911b-e80f-44ab-97e7-535bef3bfece</t>
  </si>
  <si>
    <t>Jordan Clarke</t>
  </si>
  <si>
    <t>121e30c0-9aff-4674-b34e-c0d2bb86f14c</t>
  </si>
  <si>
    <t>Karen Martinez</t>
  </si>
  <si>
    <t>8321baaf-aa63-4615-b752-61bb8b241d39</t>
  </si>
  <si>
    <t>Kristina Bishop</t>
  </si>
  <si>
    <t>a8c7c244-a404-4307-9204-bb5099050155</t>
  </si>
  <si>
    <t>Cassandra Mcconnell</t>
  </si>
  <si>
    <t>a31e1845-3714-40c8-a5c8-98a6bdb8c5eb</t>
  </si>
  <si>
    <t>Shannon Rhodes</t>
  </si>
  <si>
    <t>4926ae32-17df-4099-95c1-d2806b5cad0c</t>
  </si>
  <si>
    <t>Debbie Smith</t>
  </si>
  <si>
    <t>ec9eaefb-8621-4035-b147-0f94a1651085</t>
  </si>
  <si>
    <t>Brian Richardson</t>
  </si>
  <si>
    <t>e90c54a1-659e-474d-b9d5-bf1b9fb66aec</t>
  </si>
  <si>
    <t>Mary Ward</t>
  </si>
  <si>
    <t>b4f2c61f-a2bd-4405-a87e-231b62c1be56</t>
  </si>
  <si>
    <t>Benjamin Hill</t>
  </si>
  <si>
    <t>82be6b3c-2aca-4891-a3cd-14314f8e59ee</t>
  </si>
  <si>
    <t>Michael Richards</t>
  </si>
  <si>
    <t>dd87e14f-1b27-4c0e-a77d-75d29fa39eff</t>
  </si>
  <si>
    <t>Adam Werner</t>
  </si>
  <si>
    <t>a200f3b7-60c0-4973-abf6-943e7918b2f2</t>
  </si>
  <si>
    <t>Michael Gordon</t>
  </si>
  <si>
    <t>a8c5abe4-ccad-46d5-9c41-bd448f378e8a</t>
  </si>
  <si>
    <t>Kristin Kramer</t>
  </si>
  <si>
    <t>f5ff7a92-c5db-42f3-b088-30e2e4c0f3a8</t>
  </si>
  <si>
    <t>Joyce Humphrey</t>
  </si>
  <si>
    <t>57155201-55ad-4dd2-9219-e111b571a391</t>
  </si>
  <si>
    <t>Rachel Perry</t>
  </si>
  <si>
    <t>913bf53f-7e16-44d7-af3b-4bbb3238e384</t>
  </si>
  <si>
    <t>Michael Mayo</t>
  </si>
  <si>
    <t>818d2a44-3cf3-4427-8c87-366ca0f888f7</t>
  </si>
  <si>
    <t>Kyle Smith</t>
  </si>
  <si>
    <t>ac61b0bf-42f7-4b34-ab71-952a14ee76ef</t>
  </si>
  <si>
    <t>James Fox</t>
  </si>
  <si>
    <t>f433605f-df57-448e-8437-1fb664ceffc3</t>
  </si>
  <si>
    <t>Erika Murray</t>
  </si>
  <si>
    <t>0178ca00-3541-4890-9f0b-31c569beae14</t>
  </si>
  <si>
    <t>David Navarro</t>
  </si>
  <si>
    <t>b5c32579-1f1e-4b5f-848a-2338aad63831</t>
  </si>
  <si>
    <t>Robert Lopez</t>
  </si>
  <si>
    <t>b486dfcf-ddd8-4049-b8e3-74fe5b1e8005</t>
  </si>
  <si>
    <t>Joann Munoz</t>
  </si>
  <si>
    <t>f9475aff-d2ef-4658-a166-862508711e24</t>
  </si>
  <si>
    <t>Jacob Mcdonald</t>
  </si>
  <si>
    <t>d1f8862b-a447-4c01-a6e5-6aacddea6267</t>
  </si>
  <si>
    <t>Joseph Elliott</t>
  </si>
  <si>
    <t>b04a0022-3090-442d-98fe-a2757e2e83d3</t>
  </si>
  <si>
    <t>Ariel Benson</t>
  </si>
  <si>
    <t>a2845cfb-488a-47ff-b569-ca882ef95416</t>
  </si>
  <si>
    <t>Glenn Mckinney</t>
  </si>
  <si>
    <t>80d59593-09f2-44d4-90eb-13141ef035c5</t>
  </si>
  <si>
    <t>Pamela Payne</t>
  </si>
  <si>
    <t>82b47ec8-06a9-4b35-a2b8-751998fac5df</t>
  </si>
  <si>
    <t>Sharon Wilson</t>
  </si>
  <si>
    <t>53a90212-3898-4942-86f8-c4b6ab0e94a5</t>
  </si>
  <si>
    <t>Eric Bentley</t>
  </si>
  <si>
    <t>5fd5550d-8d25-4fa3-98da-fea32c2208e8</t>
  </si>
  <si>
    <t>Jason Evans</t>
  </si>
  <si>
    <t>24ac0f6c-4c91-40fe-8f74-ec3199ad0af6</t>
  </si>
  <si>
    <t>Gloria Christensen</t>
  </si>
  <si>
    <t>cfa0147a-3259-4cb5-b3dd-29c3887ef454</t>
  </si>
  <si>
    <t>Christopher Nguyen</t>
  </si>
  <si>
    <t>60375b03-fbd8-4058-ae31-013f050582de</t>
  </si>
  <si>
    <t>Connor Stone</t>
  </si>
  <si>
    <t>f299df47-4ced-4e13-a25b-8be98f40a34d</t>
  </si>
  <si>
    <t>Loretta Blackwell</t>
  </si>
  <si>
    <t>149d2b10-b14b-47c6-9952-b5b8ee9e4025</t>
  </si>
  <si>
    <t>Timothy Morris</t>
  </si>
  <si>
    <t>78bbdebd-f277-4788-a1db-c657fb691da4</t>
  </si>
  <si>
    <t>James Newman</t>
  </si>
  <si>
    <t>3a299987-776c-4740-a9f1-ee37c6fc5cfd</t>
  </si>
  <si>
    <t>Sean Harvey</t>
  </si>
  <si>
    <t>fe62a6ec-ba5d-40be-95d4-22d9a45126a9</t>
  </si>
  <si>
    <t>Matthew Coleman</t>
  </si>
  <si>
    <t>50fd0448-845d-4e36-a5e7-66116ac1974a</t>
  </si>
  <si>
    <t>Sharon Brown</t>
  </si>
  <si>
    <t>c3ab9464-21f5-428f-8744-0980f9d271eb</t>
  </si>
  <si>
    <t>Andrea Mcdonald</t>
  </si>
  <si>
    <t>e3448515-54d2-4b95-a8e2-2dfd92e349f7</t>
  </si>
  <si>
    <t>Anna Mclaughlin</t>
  </si>
  <si>
    <t>a45ad2ed-6ed3-4f0d-96db-8ab24329fef7</t>
  </si>
  <si>
    <t>Daniel Andrews</t>
  </si>
  <si>
    <t>71d3da44-49b9-40ec-abd4-c5641b7950d6</t>
  </si>
  <si>
    <t>Robert Lin</t>
  </si>
  <si>
    <t>50c3d260-5fa4-4091-b1fe-497b5e5816c7</t>
  </si>
  <si>
    <t>Barbara Hernandez</t>
  </si>
  <si>
    <t>22f64dc3-f7c6-4652-894e-18dfbc7fc098</t>
  </si>
  <si>
    <t>Dominique Garrett</t>
  </si>
  <si>
    <t>6950820c-422a-43e2-90f4-d89ca00f61b1</t>
  </si>
  <si>
    <t>Amy Johnston</t>
  </si>
  <si>
    <t>f6cf8a81-5aed-4998-973b-2e88b152aff7</t>
  </si>
  <si>
    <t>Noah Patel</t>
  </si>
  <si>
    <t>dbbec498-2b6e-4331-934f-2678cb9dde1c</t>
  </si>
  <si>
    <t>1db97a62-e6d4-4ff2-ba61-ffc3d210eea1</t>
  </si>
  <si>
    <t>Heather Howard</t>
  </si>
  <si>
    <t>bae9b429-bcf8-4948-8d81-a45ebc539fb7</t>
  </si>
  <si>
    <t>Mr. Noah Bonilla</t>
  </si>
  <si>
    <t>ad27a257-97c4-4eb4-a6ae-2b843fb41ad5</t>
  </si>
  <si>
    <t>Jonathan Espinoza</t>
  </si>
  <si>
    <t>6f984f53-7f6b-45bd-b1bd-d7064655f7dc</t>
  </si>
  <si>
    <t>Elijah Myers</t>
  </si>
  <si>
    <t>bae02f80-d88c-48f4-9942-e332a7a94c6c</t>
  </si>
  <si>
    <t>Jessica Yates DDS</t>
  </si>
  <si>
    <t>17f1a2df-5578-420a-85d0-1a3b3ebad7b1</t>
  </si>
  <si>
    <t>Tammie Gomez</t>
  </si>
  <si>
    <t>60fbebdf-a8f0-425f-862e-be4ac8a07a76</t>
  </si>
  <si>
    <t>Allison Sanders</t>
  </si>
  <si>
    <t>24fd991e-ac5f-466e-979a-9c93fea8066f</t>
  </si>
  <si>
    <t>Heather Burns</t>
  </si>
  <si>
    <t>78299d37-05d7-4a62-9c68-7326bf51ddc2</t>
  </si>
  <si>
    <t>William Reed</t>
  </si>
  <si>
    <t>69737ecd-4e77-405f-9618-f491e26fc574</t>
  </si>
  <si>
    <t>Louis Fisher</t>
  </si>
  <si>
    <t>5d64731d-25ed-4c55-a22a-7183afdb44a1</t>
  </si>
  <si>
    <t>Samantha Farrell</t>
  </si>
  <si>
    <t>b59ef510-8147-4e38-9381-574c68b70f92</t>
  </si>
  <si>
    <t>Kevin Wallace</t>
  </si>
  <si>
    <t>c4b59eac-9084-420a-a00b-98c590edd06a</t>
  </si>
  <si>
    <t>Amanda Grant</t>
  </si>
  <si>
    <t>cdc32ec8-e1b3-4b81-8bba-74b93621453b</t>
  </si>
  <si>
    <t>Laura Smith</t>
  </si>
  <si>
    <t>95c661fb-4667-4c19-96a2-ca4c2ef9afae</t>
  </si>
  <si>
    <t>Steven Sanchez</t>
  </si>
  <si>
    <t>cd72d738-570f-4919-85d2-d4783443bd25</t>
  </si>
  <si>
    <t>Kenneth White</t>
  </si>
  <si>
    <t>ec3fc0ed-f373-4b43-b25e-057b5d45b0a8</t>
  </si>
  <si>
    <t>Lauren Tate</t>
  </si>
  <si>
    <t>8bc25a11-bb82-4683-adbb-9b47ffc5a853</t>
  </si>
  <si>
    <t>Amy Brown</t>
  </si>
  <si>
    <t>2901e391-d895-4c6c-ba39-cec7a6430af9</t>
  </si>
  <si>
    <t>Tina Rojas</t>
  </si>
  <si>
    <t>f1202eb8-d1bd-40f5-bf46-339f90e236e4</t>
  </si>
  <si>
    <t>Pamela Rodriguez</t>
  </si>
  <si>
    <t>7b91af5c-72ac-44b8-8c9b-85d9ef272ab3</t>
  </si>
  <si>
    <t>William Phillips</t>
  </si>
  <si>
    <t>35588597-1098-494e-ab45-562dc48bc4dc</t>
  </si>
  <si>
    <t>Corey Evans</t>
  </si>
  <si>
    <t>b8ee75ae-2174-4257-91e7-5e58ec6c52e5</t>
  </si>
  <si>
    <t>Donna Carpenter</t>
  </si>
  <si>
    <t>18e2044a-fb69-4e49-a682-158255c147d2</t>
  </si>
  <si>
    <t>James Carrillo</t>
  </si>
  <si>
    <t>99352e09-2d08-457d-9059-1c119b90db3a</t>
  </si>
  <si>
    <t>Elizabeth Johnson</t>
  </si>
  <si>
    <t>14d9941f-6602-41ce-ae38-44cf519db509</t>
  </si>
  <si>
    <t>Victoria Haney</t>
  </si>
  <si>
    <t>59518528-b658-4516-a6d7-65fa8a7c954b</t>
  </si>
  <si>
    <t>Margaret Carter</t>
  </si>
  <si>
    <t>e92eae89-27b2-4dcc-996a-871a512093a4</t>
  </si>
  <si>
    <t>Mason Moran</t>
  </si>
  <si>
    <t>49ba4c08-6c0f-4bbb-9bb4-020df5658b90</t>
  </si>
  <si>
    <t>Jennifer Hudson</t>
  </si>
  <si>
    <t>732e7f1d-a541-41f2-97b9-8fc166e3f075</t>
  </si>
  <si>
    <t>Eric Stone</t>
  </si>
  <si>
    <t>dd6d7bc9-50ca-4380-bc02-90af91fcda49</t>
  </si>
  <si>
    <t>Ruben Spears</t>
  </si>
  <si>
    <t>f85fa0b9-416a-4e3b-b40a-41c15348b56d</t>
  </si>
  <si>
    <t>Tammie Green</t>
  </si>
  <si>
    <t>514072a2-95ed-4f8f-8fb3-e5d67973977b</t>
  </si>
  <si>
    <t>Michelle Smith</t>
  </si>
  <si>
    <t>beac0cde-fe94-4f70-99dd-e2152efb175e</t>
  </si>
  <si>
    <t>Megan Smith</t>
  </si>
  <si>
    <t>e27c1997-ee8c-4233-87e3-a5ae48d06bf6</t>
  </si>
  <si>
    <t>Melanie Lewis</t>
  </si>
  <si>
    <t>decfe251-fc14-486d-9205-96877fce932b</t>
  </si>
  <si>
    <t>Alex Simmons</t>
  </si>
  <si>
    <t>19129543-e5b6-4e8e-a021-8b889e9a96cc</t>
  </si>
  <si>
    <t>Laura Vega</t>
  </si>
  <si>
    <t>6f3c790f-7b0a-4ad6-99d6-7180441cdb82</t>
  </si>
  <si>
    <t>Drew Watson MD</t>
  </si>
  <si>
    <t>14a99036-b3ad-467e-9097-39f2ab51147e</t>
  </si>
  <si>
    <t>Timothy Petty</t>
  </si>
  <si>
    <t>e53ae952-8785-4ba5-a621-f2922e137225</t>
  </si>
  <si>
    <t>Jason Harrison</t>
  </si>
  <si>
    <t>989c9087-40a1-48f1-84bd-f9204175c028</t>
  </si>
  <si>
    <t>Jermaine Sims</t>
  </si>
  <si>
    <t>8c91d233-a733-4025-91bc-5122bfe240be</t>
  </si>
  <si>
    <t>Angelica Richardson</t>
  </si>
  <si>
    <t>df9cac32-c413-4887-912e-bad36f491feb</t>
  </si>
  <si>
    <t>George Hall</t>
  </si>
  <si>
    <t>72c1fd7f-00f9-4d76-a818-3fb2072f5837</t>
  </si>
  <si>
    <t>Hannah Torres</t>
  </si>
  <si>
    <t>595fc3e0-20ba-4cb8-a766-c6cebd2de888</t>
  </si>
  <si>
    <t>Brittany Jackson</t>
  </si>
  <si>
    <t>d65aba7f-8d06-44d4-8939-bd9e222e5e68</t>
  </si>
  <si>
    <t>Zachary Moreno</t>
  </si>
  <si>
    <t>aa9ec8b8-173a-4d01-8f09-648977f92874</t>
  </si>
  <si>
    <t>Mrs. Tiffany Ferguson DDS</t>
  </si>
  <si>
    <t>61bfa804-6794-4b1b-bda9-846e399f46d4</t>
  </si>
  <si>
    <t>Patricia Oneill</t>
  </si>
  <si>
    <t>78384c9a-0a7d-4183-834a-dc84c7abddbf</t>
  </si>
  <si>
    <t>Kristin Stokes</t>
  </si>
  <si>
    <t>47604489-54af-4aaa-8322-b13073b338f6</t>
  </si>
  <si>
    <t>Jordan Banks</t>
  </si>
  <si>
    <t>0fb7fc70-0198-488f-9bfd-5cefc28bab2b</t>
  </si>
  <si>
    <t>Troy Arias</t>
  </si>
  <si>
    <t>543e418e-d86c-416b-925d-73fa5a2687fe</t>
  </si>
  <si>
    <t>Nicholas Clark</t>
  </si>
  <si>
    <t>2f195602-dffc-433f-a825-c19a06a38197</t>
  </si>
  <si>
    <t>Joel Allen</t>
  </si>
  <si>
    <t>c8fcd4db-0652-4958-b929-0dc6b0a38063</t>
  </si>
  <si>
    <t>Melissa Hall</t>
  </si>
  <si>
    <t>7c383e0c-3925-4a78-8b63-80607bb23277</t>
  </si>
  <si>
    <t>Jonathan Gibson</t>
  </si>
  <si>
    <t>e6581338-5ae0-429d-8739-ab137589fbac</t>
  </si>
  <si>
    <t>Nathan Schneider</t>
  </si>
  <si>
    <t>d94c1c20-bca4-4bbd-8be4-966ef94333fd</t>
  </si>
  <si>
    <t>Nancy Lee</t>
  </si>
  <si>
    <t>2b5216b1-bc01-4b97-b1ed-6f039836fa35</t>
  </si>
  <si>
    <t>Kimberly Griffin</t>
  </si>
  <si>
    <t>7f4596b8-99d1-40bb-baf1-90af0d47e861</t>
  </si>
  <si>
    <t>Carolyn Vega</t>
  </si>
  <si>
    <t>84ea42b9-76de-4373-8e93-cf916de83f25</t>
  </si>
  <si>
    <t>Dennis Mclaughlin</t>
  </si>
  <si>
    <t>728eb627-b400-415f-bb88-de31cacc83c4</t>
  </si>
  <si>
    <t>Matthew Ferguson</t>
  </si>
  <si>
    <t>6bf8aae5-60ce-42b1-8914-01c1321dcecb</t>
  </si>
  <si>
    <t>David Carter</t>
  </si>
  <si>
    <t>beecbf0f-977e-4f71-9865-a2d9b5e3158d</t>
  </si>
  <si>
    <t>Gregory Cooke</t>
  </si>
  <si>
    <t>329a33de-96f5-4deb-bd31-3d24870a5346</t>
  </si>
  <si>
    <t>Andrew Walker</t>
  </si>
  <si>
    <t>b769dd76-d89b-4872-9164-bad9bfa4f8ab</t>
  </si>
  <si>
    <t>Jon Smith</t>
  </si>
  <si>
    <t>000ab947-f2bc-490d-833f-b10cc9257853</t>
  </si>
  <si>
    <t>Shannon Johnson</t>
  </si>
  <si>
    <t>773b21fd-e2cd-4b52-b58e-aa48fde64c67</t>
  </si>
  <si>
    <t>Kelly Sawyer</t>
  </si>
  <si>
    <t>3411066b-4ed6-4389-bd74-1196e4dbe164</t>
  </si>
  <si>
    <t>Johnny Valdez</t>
  </si>
  <si>
    <t>b3375102-809f-4e80-ba78-6e89e7ec7515</t>
  </si>
  <si>
    <t>Kathy Friedman</t>
  </si>
  <si>
    <t>1cf47c2d-304e-48cd-9f48-1d7d787627a3</t>
  </si>
  <si>
    <t>Crystal Nichols</t>
  </si>
  <si>
    <t>71f286b5-9fe5-4b55-9040-e7fa2a916299</t>
  </si>
  <si>
    <t>Amanda Stewart</t>
  </si>
  <si>
    <t>9937a3d5-ee81-4cdd-b4dc-e93d7fc3a044</t>
  </si>
  <si>
    <t>Thomas Smith</t>
  </si>
  <si>
    <t>b5e64cd6-6cf2-46e3-a784-bdd17da1e65e</t>
  </si>
  <si>
    <t>Randy Schroeder</t>
  </si>
  <si>
    <t>bbd4a83f-261c-4e3f-9503-f9e954b80a89</t>
  </si>
  <si>
    <t>Cody Copeland</t>
  </si>
  <si>
    <t>9020a00f-7f8d-4046-8fc7-efecc83e67ed</t>
  </si>
  <si>
    <t>Wendy Fischer</t>
  </si>
  <si>
    <t>b83bc630-e74b-4a8f-824d-c2447fd50f81</t>
  </si>
  <si>
    <t>Christopher Contreras</t>
  </si>
  <si>
    <t>01c68a59-7748-441f-854e-58d94f11e3ab</t>
  </si>
  <si>
    <t>Joseph Saunders</t>
  </si>
  <si>
    <t>489a7e64-e63f-4889-a908-54cda979f287</t>
  </si>
  <si>
    <t>Joseph Gray</t>
  </si>
  <si>
    <t>a1572b07-a270-40cc-a2e6-37cb7448e10f</t>
  </si>
  <si>
    <t>Kirk Mitchell</t>
  </si>
  <si>
    <t>95abce2d-4426-4b76-81c7-1eb1173727a8</t>
  </si>
  <si>
    <t>Morgan Harvey</t>
  </si>
  <si>
    <t>cc2a3ef6-f693-4676-bd0d-6dd74eba21f9</t>
  </si>
  <si>
    <t>Crystal Allen</t>
  </si>
  <si>
    <t>ac2bd9f1-30fb-4980-9cda-69ad8af90fdc</t>
  </si>
  <si>
    <t>Michelle Stuart</t>
  </si>
  <si>
    <t>2706e1b9-2b52-4a1d-a94e-65bf5e1ebc2f</t>
  </si>
  <si>
    <t>Derek Sanchez</t>
  </si>
  <si>
    <t>9c8eefde-f170-4763-8f7e-d444fc4328fc</t>
  </si>
  <si>
    <t>Joshua Jones</t>
  </si>
  <si>
    <t>59e6078e-ff52-4b4c-8d3e-eec50ed0425d</t>
  </si>
  <si>
    <t>Shelly Mays</t>
  </si>
  <si>
    <t>f18698ef-1a32-4a91-9c5f-f20b61c04f28</t>
  </si>
  <si>
    <t>Ronnie Mccormick</t>
  </si>
  <si>
    <t>ce134079-8ad8-4aa8-98db-ed3d9de553a5</t>
  </si>
  <si>
    <t>Stephanie Murray</t>
  </si>
  <si>
    <t>92b2a42e-56a2-4224-80ad-df781f2eb474</t>
  </si>
  <si>
    <t>Alexander Allen</t>
  </si>
  <si>
    <t>91d42880-435e-4868-865b-3560396d6587</t>
  </si>
  <si>
    <t>Patrick Mccann</t>
  </si>
  <si>
    <t>950cedb6-ccb1-4284-bb3c-454c9e9362b9</t>
  </si>
  <si>
    <t>Patricia Carpenter</t>
  </si>
  <si>
    <t>77dc8e90-8cc5-4192-a5d7-40ea7ef97f1a</t>
  </si>
  <si>
    <t>Elizabeth Taylor</t>
  </si>
  <si>
    <t>cadb0e02-28bd-42b6-869b-01f5f64ee9af</t>
  </si>
  <si>
    <t>Erica Werner</t>
  </si>
  <si>
    <t>07434876-6947-4dc8-b811-5be011515cc8</t>
  </si>
  <si>
    <t>Shelia King</t>
  </si>
  <si>
    <t>f7f8abb9-bc8a-4048-ac79-9f55cabe7a22</t>
  </si>
  <si>
    <t>Cynthia Weaver</t>
  </si>
  <si>
    <t>216a6e79-2b0c-46f0-8ce3-2adbe0000785</t>
  </si>
  <si>
    <t>Natalie Greene</t>
  </si>
  <si>
    <t>2c391e37-e9af-444f-b9f2-67671840ef5d</t>
  </si>
  <si>
    <t>Gabriela Brown</t>
  </si>
  <si>
    <t>2a1000f7-5372-4dff-8654-1f42358a704f</t>
  </si>
  <si>
    <t>Wanda Murphy</t>
  </si>
  <si>
    <t>c030102f-793b-4fc0-a0ea-e28f180286ac</t>
  </si>
  <si>
    <t>Joann Garner</t>
  </si>
  <si>
    <t>cfb33eb3-5e8f-43b5-9fe2-8781e14c37d2</t>
  </si>
  <si>
    <t>Mr. Kenneth Green</t>
  </si>
  <si>
    <t>64fecc65-95d5-4ba2-bb25-ecf6757b9e11</t>
  </si>
  <si>
    <t>Shannon Baker</t>
  </si>
  <si>
    <t>4c19dd4b-fdc8-4c9b-b945-fa160fff01d6</t>
  </si>
  <si>
    <t>Tracy Mejia</t>
  </si>
  <si>
    <t>86d400c1-4e0b-49a1-babc-47b3e7de3f55</t>
  </si>
  <si>
    <t>John Kelley</t>
  </si>
  <si>
    <t>ffdffbbd-e060-4ad3-818b-71420ba092c7</t>
  </si>
  <si>
    <t>Alan Gibbs</t>
  </si>
  <si>
    <t>3b53988e-1772-46d1-b354-1e0e645dd928</t>
  </si>
  <si>
    <t>Theresa Guerra</t>
  </si>
  <si>
    <t>48823862-866e-4c3f-95f8-3c4cfb0eec6c</t>
  </si>
  <si>
    <t>Catherine Benson</t>
  </si>
  <si>
    <t>e40db6d6-cf52-4d39-a3d2-77f3b27cb48a</t>
  </si>
  <si>
    <t>Scott Richardson</t>
  </si>
  <si>
    <t>728a5ed4-7405-48d5-878d-e22462123782</t>
  </si>
  <si>
    <t>David Hall</t>
  </si>
  <si>
    <t>b7107066-da01-4fc9-a12d-a31a9bdf4bcd</t>
  </si>
  <si>
    <t>Matthew Davis</t>
  </si>
  <si>
    <t>b88d30b5-d7b6-4271-8f28-1ec295d5d0ba</t>
  </si>
  <si>
    <t>Kimberly Kennedy</t>
  </si>
  <si>
    <t>c839a1a2-c7a9-4178-88a2-ee3c1fb0d175</t>
  </si>
  <si>
    <t>Tracy Leach</t>
  </si>
  <si>
    <t>9ed6153b-32dc-414f-9a0a-c521ff02a0aa</t>
  </si>
  <si>
    <t>Nancy Whitaker</t>
  </si>
  <si>
    <t>73da5ff7-794a-4709-a71d-cc7db22c279a</t>
  </si>
  <si>
    <t>Beth Davis</t>
  </si>
  <si>
    <t>41e98f9d-0d79-4900-9ac7-576172dcc0ea</t>
  </si>
  <si>
    <t>Olivia Jones</t>
  </si>
  <si>
    <t>a634424d-42cb-40ca-9b1b-53be5b9dc963</t>
  </si>
  <si>
    <t>Justin Compton</t>
  </si>
  <si>
    <t>2dc52d7c-7c99-4623-adc5-5f3f4a67fab9</t>
  </si>
  <si>
    <t>Ryan Taylor</t>
  </si>
  <si>
    <t>feb1b59c-4ea6-41be-bb02-ff156a0b9cc1</t>
  </si>
  <si>
    <t>Melissa Haas</t>
  </si>
  <si>
    <t>8e1b1ebe-aa12-4b00-b57e-1d1a1acd7727</t>
  </si>
  <si>
    <t>Jennifer Guzman</t>
  </si>
  <si>
    <t>1a006ea4-6d42-4232-b084-667187ae0878</t>
  </si>
  <si>
    <t>Samantha Kelly</t>
  </si>
  <si>
    <t>959fd378-d0af-4e83-b3db-09219e2a87b8</t>
  </si>
  <si>
    <t>Jennifer Martinez</t>
  </si>
  <si>
    <t>535b7e12-7bf2-4f0f-b065-51d1d0bd9802</t>
  </si>
  <si>
    <t>Michael Hamilton</t>
  </si>
  <si>
    <t>c971f3a5-5908-416b-8e9b-b00a4feee8ac</t>
  </si>
  <si>
    <t>Philip Ortega</t>
  </si>
  <si>
    <t>835a0d57-27c5-4502-9380-ec2eef2f52b6</t>
  </si>
  <si>
    <t>Amber Mckee</t>
  </si>
  <si>
    <t>af0bdd6a-ac25-481c-84ca-faa0344b608b</t>
  </si>
  <si>
    <t>David Williams DDS</t>
  </si>
  <si>
    <t>26b4926c-4399-44f4-8293-a3a8e3319371</t>
  </si>
  <si>
    <t>Christina Ruiz</t>
  </si>
  <si>
    <t>7a76e400-ea92-45eb-802b-e83ce0db5383</t>
  </si>
  <si>
    <t>Richard Tate MD</t>
  </si>
  <si>
    <t>39bed616-0ffc-4a81-9c61-36f6c16cd462</t>
  </si>
  <si>
    <t>Shelby Nielsen</t>
  </si>
  <si>
    <t>e516aff6-da23-49bd-941e-e14f71279773</t>
  </si>
  <si>
    <t>Jacob Rodriguez</t>
  </si>
  <si>
    <t>8038379f-a0ef-4b2b-a333-8114f2ea0c51</t>
  </si>
  <si>
    <t>Heather Mccarty</t>
  </si>
  <si>
    <t>e7b3c185-df55-43fa-8360-8175e594d26f</t>
  </si>
  <si>
    <t>Russell Lewis</t>
  </si>
  <si>
    <t>e93a867b-f9a0-488e-8008-6e7b77b7a8bf</t>
  </si>
  <si>
    <t>John Roberts</t>
  </si>
  <si>
    <t>43164f1f-e59c-4fa5-aa79-c4dfcc36bc03</t>
  </si>
  <si>
    <t>Dr. Gabrielle Jenkins</t>
  </si>
  <si>
    <t>a6bfe668-d633-438d-9d61-2c08f606b200</t>
  </si>
  <si>
    <t>Mitchell Schmidt</t>
  </si>
  <si>
    <t>04118206-ba2e-4d3c-92d8-3e113cdb8122</t>
  </si>
  <si>
    <t>Brad Murillo</t>
  </si>
  <si>
    <t>f78ec112-4243-460e-84f9-9269025a387d</t>
  </si>
  <si>
    <t>Kathryn Robinson</t>
  </si>
  <si>
    <t>ea44320a-f327-40e5-a76b-c2ea3fc2aa88</t>
  </si>
  <si>
    <t>Angela Wolf</t>
  </si>
  <si>
    <t>90bb267d-c74f-48e0-9b18-40449ee13126</t>
  </si>
  <si>
    <t>William Stewart Jr.</t>
  </si>
  <si>
    <t>5fee30ce-c928-4680-b1d6-3c0d21ad7b4e</t>
  </si>
  <si>
    <t>Elizabeth Poole</t>
  </si>
  <si>
    <t>84cb6c9c-9fcb-42ab-a10d-6d03180df2bd</t>
  </si>
  <si>
    <t>Linda Mason</t>
  </si>
  <si>
    <t>f411b953-315a-4af4-9c29-7825455bd33f</t>
  </si>
  <si>
    <t>Kim Walters</t>
  </si>
  <si>
    <t>6ec25d53-b6a9-4f16-b86d-0a8880aaac22</t>
  </si>
  <si>
    <t>Megan Ruiz</t>
  </si>
  <si>
    <t>a74d9f62-e1c3-40fb-9cf1-dabe7735af98</t>
  </si>
  <si>
    <t>Amber Lewis</t>
  </si>
  <si>
    <t>39844f82-cff6-410d-b58f-9bee8dd49e9b</t>
  </si>
  <si>
    <t>Robert Allen</t>
  </si>
  <si>
    <t>e92854ce-46e8-408f-a189-68f06d802eba</t>
  </si>
  <si>
    <t>Tyler Young</t>
  </si>
  <si>
    <t>a61870e1-71b2-420a-937a-62cae370df2a</t>
  </si>
  <si>
    <t>Eddie Madden</t>
  </si>
  <si>
    <t>1105c366-bc25-4713-892b-39744346bbd0</t>
  </si>
  <si>
    <t>Blake Price</t>
  </si>
  <si>
    <t>c40bfda3-40e0-4049-bb3c-a67370ff1ebc</t>
  </si>
  <si>
    <t>Anna Chavez</t>
  </si>
  <si>
    <t>1ef9c448-0525-47dc-951b-7359149d6217</t>
  </si>
  <si>
    <t>Abigail Howard</t>
  </si>
  <si>
    <t>64a80c7e-6659-4c3d-852b-c495c2e3c6f0</t>
  </si>
  <si>
    <t>Lori Taylor</t>
  </si>
  <si>
    <t>25832375-7e19-494c-9b1b-77241132fa59</t>
  </si>
  <si>
    <t>Brandy Brewer</t>
  </si>
  <si>
    <t>b8eab0d6-7233-4e5b-b1bc-d9dd77876e91</t>
  </si>
  <si>
    <t>Nicholas Walls</t>
  </si>
  <si>
    <t>57ed697a-cb34-490b-b8e5-10d7919b44f5</t>
  </si>
  <si>
    <t>Mary Brown</t>
  </si>
  <si>
    <t>50d26aad-5917-4b69-9a6b-a104a2798a99</t>
  </si>
  <si>
    <t>Eric Phillips</t>
  </si>
  <si>
    <t>3739fbc0-6b9e-4822-962e-ca34857fb914</t>
  </si>
  <si>
    <t>Heather Chen</t>
  </si>
  <si>
    <t>58174292-f371-443f-b283-cb2d16df4894</t>
  </si>
  <si>
    <t>Melinda Day</t>
  </si>
  <si>
    <t>f7c3cd7e-c8a1-4a3e-84e1-7ab60980e80e</t>
  </si>
  <si>
    <t>Terry Lindsey</t>
  </si>
  <si>
    <t>2e194d52-cd54-44c6-abba-95f6790388c2</t>
  </si>
  <si>
    <t>Janet Lee</t>
  </si>
  <si>
    <t>12b4f055-e089-4967-a742-6c796722e1c1</t>
  </si>
  <si>
    <t>Gilbert Holt</t>
  </si>
  <si>
    <t>7626d1cf-f8cf-4bc2-864a-c9a602c2cd16</t>
  </si>
  <si>
    <t>James Davis</t>
  </si>
  <si>
    <t>5fa987ea-843a-4798-9ec0-6d37c6b686a5</t>
  </si>
  <si>
    <t>Linda Thomas</t>
  </si>
  <si>
    <t>598cd083-a0c1-4536-bcf2-b843e6b3c40d</t>
  </si>
  <si>
    <t>Michael Mitchell</t>
  </si>
  <si>
    <t>9aef4749-fd9b-4d08-a943-8a115e07062b</t>
  </si>
  <si>
    <t>Bob Cooper</t>
  </si>
  <si>
    <t>af4a901a-80f9-4ac3-ad51-b3ca781bf2de</t>
  </si>
  <si>
    <t>Keith Guzman</t>
  </si>
  <si>
    <t>14d2a47a-5929-446c-91b7-3f2edff2c9c6</t>
  </si>
  <si>
    <t>Sandra Cameron</t>
  </si>
  <si>
    <t>94877f13-3f57-4b55-a955-d3f8901878e3</t>
  </si>
  <si>
    <t>Alexandra Chambers</t>
  </si>
  <si>
    <t>a599e526-9fb8-4f39-bbb0-664c8e8f78ed</t>
  </si>
  <si>
    <t>Denise Ruiz</t>
  </si>
  <si>
    <t>17805b22-8ee1-4e43-8d9a-382aa13989d4</t>
  </si>
  <si>
    <t>Karen Wise</t>
  </si>
  <si>
    <t>8cf37b7a-bb1a-4ffe-910c-27c8baa44270</t>
  </si>
  <si>
    <t>Lori Garcia</t>
  </si>
  <si>
    <t>571e9882-3879-4cd9-b141-5f44fb92cfc0</t>
  </si>
  <si>
    <t>Shannon Martin</t>
  </si>
  <si>
    <t>9b75697f-b887-45f7-894c-11c3767a805a</t>
  </si>
  <si>
    <t>Rebecca Solis</t>
  </si>
  <si>
    <t>a3be8487-509c-46e1-8939-5e4ae35849c6</t>
  </si>
  <si>
    <t>Dr. David Fernandez</t>
  </si>
  <si>
    <t>d2bcee4f-debf-4665-81dc-85642a357267</t>
  </si>
  <si>
    <t>Justin Morales</t>
  </si>
  <si>
    <t>b5c30161-e19d-4b5b-afef-fff023cd536f</t>
  </si>
  <si>
    <t>Amber Ward</t>
  </si>
  <si>
    <t>7ded0cbf-c709-48e3-85e9-4d678d3ae7fe</t>
  </si>
  <si>
    <t>Jose Bennett</t>
  </si>
  <si>
    <t>3135b76d-d04d-44ff-bb08-12baffd9c40a</t>
  </si>
  <si>
    <t>Sharon Vance</t>
  </si>
  <si>
    <t>32b8af8d-91ec-4552-9d2f-28fd54611778</t>
  </si>
  <si>
    <t>Richard Fisher</t>
  </si>
  <si>
    <t>7d899231-3f4d-4628-b75b-74ca57913169</t>
  </si>
  <si>
    <t>Jeffrey Nelson</t>
  </si>
  <si>
    <t>123a6afb-62ce-4c66-aa6a-268f0e4a356f</t>
  </si>
  <si>
    <t>Sheryl Wolfe</t>
  </si>
  <si>
    <t>ef2b6afd-2211-4bdb-94b8-bea82fe8b5e6</t>
  </si>
  <si>
    <t>William Gibson</t>
  </si>
  <si>
    <t>3479e2d7-9a7c-4e28-8080-a6a0e6fa888f</t>
  </si>
  <si>
    <t>Susan Hernandez</t>
  </si>
  <si>
    <t>e6b97c3f-da41-43d5-95cb-f0149cf06bbc</t>
  </si>
  <si>
    <t>Melissa Davis</t>
  </si>
  <si>
    <t>1d60db1b-822a-4a7d-b820-933b0d2c1553</t>
  </si>
  <si>
    <t>Barbara Harris</t>
  </si>
  <si>
    <t>1f748a58-a0fa-45a5-a6c8-b0c5953d03bb</t>
  </si>
  <si>
    <t>Jennifer Bowers</t>
  </si>
  <si>
    <t>0f944755-a278-4c49-aef4-3679f05f6d20</t>
  </si>
  <si>
    <t>Jane Guerra</t>
  </si>
  <si>
    <t>d01c4c6b-9cbb-4774-ae7d-6d306711b736</t>
  </si>
  <si>
    <t>Jamie Anderson</t>
  </si>
  <si>
    <t>e50d4fbd-1b2f-4995-be2f-8b54650000ed</t>
  </si>
  <si>
    <t>Mallory Webb</t>
  </si>
  <si>
    <t>94cd2c03-52ab-420e-a711-484fff70c9fb</t>
  </si>
  <si>
    <t>Sheila Jackson</t>
  </si>
  <si>
    <t>80962adf-a5f7-4817-a1e0-e134b347542e</t>
  </si>
  <si>
    <t>Alexander Robinson</t>
  </si>
  <si>
    <t>26353852-0556-4809-8e71-710feeded55a</t>
  </si>
  <si>
    <t>Jill Haynes</t>
  </si>
  <si>
    <t>227a991f-833c-4f4c-abef-031857eee551</t>
  </si>
  <si>
    <t>Donald Richard</t>
  </si>
  <si>
    <t>9dd060f8-a7d5-4c10-957c-a9a38ce43725</t>
  </si>
  <si>
    <t>Hayley Jenkins</t>
  </si>
  <si>
    <t>73518cbb-ba47-4c5f-b8e0-b7d0cd79e535</t>
  </si>
  <si>
    <t>Melissa Smith</t>
  </si>
  <si>
    <t>bdad5235-683b-4089-9787-0c05c48adad4</t>
  </si>
  <si>
    <t>Angela Moore</t>
  </si>
  <si>
    <t>68d3bb28-5943-4932-b1d5-98e1edbcee4e</t>
  </si>
  <si>
    <t>Ronald Green</t>
  </si>
  <si>
    <t>fca5b9f2-79ce-467b-bce9-1671310214f5</t>
  </si>
  <si>
    <t>Karen Harrison</t>
  </si>
  <si>
    <t>2c7bcec6-32c9-46a3-b449-71a4d7f22f25</t>
  </si>
  <si>
    <t>Maureen Ramos</t>
  </si>
  <si>
    <t>b79698a3-07d2-4014-8578-b38ce2f60e46</t>
  </si>
  <si>
    <t>Justin Guzman</t>
  </si>
  <si>
    <t>a7f6bb6b-1806-4b46-a930-5067df2b1155</t>
  </si>
  <si>
    <t>William Sanchez</t>
  </si>
  <si>
    <t>65954923-3b76-474d-9591-7552e40d154b</t>
  </si>
  <si>
    <t>Mason Price</t>
  </si>
  <si>
    <t>6d9f6a18-eb93-48df-835a-a573be45bb58</t>
  </si>
  <si>
    <t>Lisa Smith</t>
  </si>
  <si>
    <t>ad276322-04e6-4c03-bc2c-a7bc15d33e1d</t>
  </si>
  <si>
    <t>Candace Burke</t>
  </si>
  <si>
    <t>e632a8d1-5e0c-437d-b4bf-83c503d707ac</t>
  </si>
  <si>
    <t>Sharon Edwards</t>
  </si>
  <si>
    <t>98116e98-f903-4bed-965b-32c05be39bec</t>
  </si>
  <si>
    <t>Ryan Camacho</t>
  </si>
  <si>
    <t>79fa067a-32e8-4e48-a29e-d74c82524e75</t>
  </si>
  <si>
    <t>Joseph Jones</t>
  </si>
  <si>
    <t>8c8e69fc-43ae-49e9-a8f2-0c53b8013174</t>
  </si>
  <si>
    <t>David Gonzalez</t>
  </si>
  <si>
    <t>b096cc11-4dff-45fd-9047-46d07fb2a169</t>
  </si>
  <si>
    <t>Connie Rivers</t>
  </si>
  <si>
    <t>37f9aa2f-cf06-4018-9d93-2317f9adda06</t>
  </si>
  <si>
    <t>Kenneth Lara</t>
  </si>
  <si>
    <t>aede12b2-7a5e-4454-9b91-154bbd80702d</t>
  </si>
  <si>
    <t>Nicole Morris</t>
  </si>
  <si>
    <t>7c8257cd-f396-420a-b7a4-3f760ee6bf62</t>
  </si>
  <si>
    <t>Sean Hines</t>
  </si>
  <si>
    <t>d2a59adc-fd67-46cd-a6cd-c3103a1ab227</t>
  </si>
  <si>
    <t>8d29ccf3-fafe-46fe-b801-66d581e1346a</t>
  </si>
  <si>
    <t>Carl Smith</t>
  </si>
  <si>
    <t>457483c1-8aa6-42fc-bfb4-f5fd3b723a69</t>
  </si>
  <si>
    <t>Jessica Hensley</t>
  </si>
  <si>
    <t>d44bade6-a028-478f-809e-a3e7b6c21e5a</t>
  </si>
  <si>
    <t>Matthew York</t>
  </si>
  <si>
    <t>4a531798-675a-413e-89ec-d7436ba74f0a</t>
  </si>
  <si>
    <t>Haley Thornton</t>
  </si>
  <si>
    <t>8b3c6368-52f2-408e-9a25-b55f48cc6c86</t>
  </si>
  <si>
    <t>Mary Roberts</t>
  </si>
  <si>
    <t>b623b175-9663-4ad5-8aeb-6c22eaf43ddf</t>
  </si>
  <si>
    <t>Matthew Wright</t>
  </si>
  <si>
    <t>01ceabc7-d92d-401a-b38e-a1de1af40967</t>
  </si>
  <si>
    <t>Kevin Decker</t>
  </si>
  <si>
    <t>d1452613-fad8-4e7d-9458-bd8fbf507dfa</t>
  </si>
  <si>
    <t>Miss Lori Moss</t>
  </si>
  <si>
    <t>e458f08d-aa74-448a-955a-e00d473735ad</t>
  </si>
  <si>
    <t>Jonathan Davenport</t>
  </si>
  <si>
    <t>ff62b40f-55eb-4f68-a618-8204d0bb2ce4</t>
  </si>
  <si>
    <t>Robert Moreno</t>
  </si>
  <si>
    <t>7f359d0b-d80b-44e0-ab23-24724ef8c5a5</t>
  </si>
  <si>
    <t>Cheryl Roberts</t>
  </si>
  <si>
    <t>ac487067-82de-46bb-8d69-9b76f949b025</t>
  </si>
  <si>
    <t>Tricia Riley</t>
  </si>
  <si>
    <t>8658acbf-2b4c-46f2-aa87-1eb4674664db</t>
  </si>
  <si>
    <t>Joseph Hawkins</t>
  </si>
  <si>
    <t>ad9122f7-2b1c-4d2c-b40c-ccb8d8c8ba8a</t>
  </si>
  <si>
    <t>Trevor Barnett</t>
  </si>
  <si>
    <t>91fb445d-9068-4397-9e62-58029440cc46</t>
  </si>
  <si>
    <t>Jessica Baker</t>
  </si>
  <si>
    <t>abf83dd5-9a5a-4e4d-81ef-d04e336e008a</t>
  </si>
  <si>
    <t>Christopher Goodwin</t>
  </si>
  <si>
    <t>dbe6bce8-d773-4140-9d9d-d11116c8c96b</t>
  </si>
  <si>
    <t>Geoffrey Hickman</t>
  </si>
  <si>
    <t>9b40f03f-77ed-4e52-8f3a-9d9d36447d31</t>
  </si>
  <si>
    <t>Johnny Palmer</t>
  </si>
  <si>
    <t>733c3fc6-ecb9-4ea0-92f9-7be1ffa50a69</t>
  </si>
  <si>
    <t>Julie Shaw</t>
  </si>
  <si>
    <t>3b06167b-61c7-4b6c-b386-ac38bd0faf9f</t>
  </si>
  <si>
    <t>Michael Lambert</t>
  </si>
  <si>
    <t>94e67eb0-7d85-4518-813d-a8dcf7cd646a</t>
  </si>
  <si>
    <t>Samantha Willis</t>
  </si>
  <si>
    <t>066006a3-b89a-4302-aae3-ad59d7f81f27</t>
  </si>
  <si>
    <t>Dawn Moody</t>
  </si>
  <si>
    <t>950da305-bada-4d6c-a7f3-efc0d47a0977</t>
  </si>
  <si>
    <t>Chelsea Sandoval</t>
  </si>
  <si>
    <t>23d81851-22c9-46e7-a79b-718c1858b659</t>
  </si>
  <si>
    <t>Eric Guerrero</t>
  </si>
  <si>
    <t>4123eceb-6f48-4d9e-8a25-0dffc58cba4b</t>
  </si>
  <si>
    <t>Alicia Anderson</t>
  </si>
  <si>
    <t>826113b5-f249-44d0-84ad-01ae9d49cce0</t>
  </si>
  <si>
    <t>Geoffrey Kemp</t>
  </si>
  <si>
    <t>5632f217-40b0-4609-9389-035005df726d</t>
  </si>
  <si>
    <t>Daniel Padilla</t>
  </si>
  <si>
    <t>d748008b-7048-453c-83e3-7d90e8a97b71</t>
  </si>
  <si>
    <t>Julie Ortiz</t>
  </si>
  <si>
    <t>357c97df-4bcf-42cf-9a7d-83d3071d2aa2</t>
  </si>
  <si>
    <t>James Thomas</t>
  </si>
  <si>
    <t>a88dd2c1-462d-4940-adf3-50602e6b7853</t>
  </si>
  <si>
    <t>Heather White</t>
  </si>
  <si>
    <t>4d036e1f-dc83-406d-b445-7a03085bdc27</t>
  </si>
  <si>
    <t>Melissa Reese</t>
  </si>
  <si>
    <t>b019fc46-5124-46dc-b20e-5512eecb0751</t>
  </si>
  <si>
    <t>Troy Boyer</t>
  </si>
  <si>
    <t>af7e5096-4b8c-4aa3-9e12-563a5f970913</t>
  </si>
  <si>
    <t>Jack Carr</t>
  </si>
  <si>
    <t>1e8f806b-16c0-4400-9886-7c1964339596</t>
  </si>
  <si>
    <t>Devin Smith</t>
  </si>
  <si>
    <t>73a9993d-1723-4278-89f0-04a90557aac9</t>
  </si>
  <si>
    <t>Veronica Hammond</t>
  </si>
  <si>
    <t>9ab05718-af5b-4e24-b495-47566cb91b47</t>
  </si>
  <si>
    <t>Adam Cannon</t>
  </si>
  <si>
    <t>41f3daab-04c1-482b-9c60-719567f5ef98</t>
  </si>
  <si>
    <t>Dominic Weaver</t>
  </si>
  <si>
    <t>c807d84d-a359-46ea-96a1-178947fcea70</t>
  </si>
  <si>
    <t>Dennis Chase</t>
  </si>
  <si>
    <t>ffe5f680-d808-4b2b-807d-a725adcca1f1</t>
  </si>
  <si>
    <t>Theresa Murphy</t>
  </si>
  <si>
    <t>bfc188e7-b5ac-43ba-a053-02ae044a97dd</t>
  </si>
  <si>
    <t>Amanda Diaz</t>
  </si>
  <si>
    <t>841fe549-7eaa-4911-836a-b7ab7b06bf84</t>
  </si>
  <si>
    <t>Nicholas Carter</t>
  </si>
  <si>
    <t>24ad1600-f45d-4f26-838e-b4e008d4200e</t>
  </si>
  <si>
    <t>Sarah Ramos</t>
  </si>
  <si>
    <t>964c9216-fe23-41d1-b760-f34471e6df61</t>
  </si>
  <si>
    <t>Sharon Bailey</t>
  </si>
  <si>
    <t>96df795f-b1a5-488d-a7a4-6dcd1ce2fd12</t>
  </si>
  <si>
    <t>Kimberly Jones</t>
  </si>
  <si>
    <t>dc6a770f-53bb-4c01-bfd4-7269adcafed9</t>
  </si>
  <si>
    <t>Rhonda Hayes</t>
  </si>
  <si>
    <t>fd6155a3-fbee-490c-90a1-afb5e8a3be91</t>
  </si>
  <si>
    <t>Jacqueline Guzman</t>
  </si>
  <si>
    <t>e5bb61e2-1003-4341-86cf-d2bc0c01c303</t>
  </si>
  <si>
    <t>Joseph Smith Jr.</t>
  </si>
  <si>
    <t>797dbdee-3275-43ca-8b4f-51e47b060183</t>
  </si>
  <si>
    <t>Rebecca Howe</t>
  </si>
  <si>
    <t>a88cfe5d-3007-43c8-b6f5-0b9ac2a61429</t>
  </si>
  <si>
    <t>Elizabeth Carpenter</t>
  </si>
  <si>
    <t>6539f3cb-b98a-4972-94d7-96dbc1d0965d</t>
  </si>
  <si>
    <t>Amber Anderson</t>
  </si>
  <si>
    <t>a3c14f89-10e3-46b0-9a10-57a222524381</t>
  </si>
  <si>
    <t>Kenneth Manning</t>
  </si>
  <si>
    <t>cfececd9-b5cf-40ae-b106-d5a4f449a3e2</t>
  </si>
  <si>
    <t>Debra Villarreal</t>
  </si>
  <si>
    <t>1ea07cf2-342b-4c53-9998-902844ff846b</t>
  </si>
  <si>
    <t>Dawn Hudson</t>
  </si>
  <si>
    <t>0deea240-e8d6-4abc-a320-7c7cbf33dc72</t>
  </si>
  <si>
    <t>Joshua Williamson</t>
  </si>
  <si>
    <t>c3f8689c-f900-41d9-86a2-a8cabc0597d7</t>
  </si>
  <si>
    <t>Autumn Powell</t>
  </si>
  <si>
    <t>d21a706c-335c-4776-9101-513a81ed4da0</t>
  </si>
  <si>
    <t>Brian Foster</t>
  </si>
  <si>
    <t>b4a76265-a43a-4c97-a96a-de843f95134c</t>
  </si>
  <si>
    <t>Mariah Fernandez</t>
  </si>
  <si>
    <t>2bbd2143-fc7c-47a8-9661-c2f539eeaeb8</t>
  </si>
  <si>
    <t>Bruce Taylor</t>
  </si>
  <si>
    <t>326c1dd2-1111-4e8e-a2aa-0b80cda9fe7a</t>
  </si>
  <si>
    <t>Mary Rose</t>
  </si>
  <si>
    <t>c5e20e8a-0c9e-4f09-ba46-4a6fac215e27</t>
  </si>
  <si>
    <t>Theresa Garcia</t>
  </si>
  <si>
    <t>241c0392-11d6-4fb8-9b6c-ed16fc9b1135</t>
  </si>
  <si>
    <t>Jesse Ford</t>
  </si>
  <si>
    <t>d7d15c60-f19b-4920-8aed-55185a678f2a</t>
  </si>
  <si>
    <t>Mr. Kenneth Alexander</t>
  </si>
  <si>
    <t>fdf3455d-278f-4aec-b2eb-8d830cce2197</t>
  </si>
  <si>
    <t>Matthew Wilson</t>
  </si>
  <si>
    <t>a476e827-aed9-437a-9271-235a25a19226</t>
  </si>
  <si>
    <t>Cory Duran</t>
  </si>
  <si>
    <t>2e49c4ff-909d-4fd6-8dd1-4cef3210adda</t>
  </si>
  <si>
    <t>Kari Johnson</t>
  </si>
  <si>
    <t>5ccd714d-92ff-4263-9c04-3f5d0b7cad87</t>
  </si>
  <si>
    <t>Joe Newman</t>
  </si>
  <si>
    <t>c0a5af9e-a366-4b07-bb3b-9303b81d8076</t>
  </si>
  <si>
    <t>Darlene Lee</t>
  </si>
  <si>
    <t>3aba945f-ecf6-459c-9661-8230cc65806c</t>
  </si>
  <si>
    <t>Jennifer Wilson</t>
  </si>
  <si>
    <t>4b2fcdd6-6094-4985-974e-6ab1317a88f4</t>
  </si>
  <si>
    <t>Rebecca Santana</t>
  </si>
  <si>
    <t>5ee1a4d1-b756-4a47-bb59-718ac4465afc</t>
  </si>
  <si>
    <t>Ashley Evans</t>
  </si>
  <si>
    <t>e2ae6218-3734-4965-ae4f-a00488091fc9</t>
  </si>
  <si>
    <t>Joseph Chavez</t>
  </si>
  <si>
    <t>bc194f86-5677-45d7-bb28-2fe0dee5b630</t>
  </si>
  <si>
    <t>Sally Johnson</t>
  </si>
  <si>
    <t>9e622ef5-a88c-4c8c-a1bb-14ea5f879f47</t>
  </si>
  <si>
    <t>Jeanette Sanchez</t>
  </si>
  <si>
    <t>700ecc72-3aae-427e-958c-cfbc99103064</t>
  </si>
  <si>
    <t>Jason Hardin</t>
  </si>
  <si>
    <t>3cfb4354-96b7-47bd-a995-0781553aaea1</t>
  </si>
  <si>
    <t>Heidi Davis</t>
  </si>
  <si>
    <t>06a3affe-f123-4acf-8a32-dcd13074ffaa</t>
  </si>
  <si>
    <t>Julie Jones</t>
  </si>
  <si>
    <t>38e0445d-fd2c-4bee-8ab8-3bb2f4c687f8</t>
  </si>
  <si>
    <t>Devon Johnson</t>
  </si>
  <si>
    <t>267c8bde-77d7-4f60-873b-d2b816407399</t>
  </si>
  <si>
    <t>Jonathan Payne</t>
  </si>
  <si>
    <t>6550073f-7065-400e-875e-bf632c3b54c7</t>
  </si>
  <si>
    <t>Joel Merritt</t>
  </si>
  <si>
    <t>77690d86-f59f-4736-bc90-4c04215bdf39</t>
  </si>
  <si>
    <t>Melissa Robinson</t>
  </si>
  <si>
    <t>76625232-d482-420c-81a7-9e11973ea1d7</t>
  </si>
  <si>
    <t>Christopher Lee DDS</t>
  </si>
  <si>
    <t>179b3f79-2caa-4c8e-a38b-5822bef1cd75</t>
  </si>
  <si>
    <t>Darren Hoover</t>
  </si>
  <si>
    <t>fa5d6fa6-25ab-43dd-b1d5-4373157d9442</t>
  </si>
  <si>
    <t>Mary Wilson</t>
  </si>
  <si>
    <t>f898c3db-253a-4bab-8107-73e0967db964</t>
  </si>
  <si>
    <t>Jason Smith</t>
  </si>
  <si>
    <t>cacd24c7-98f2-4827-a790-0f9a925ca7c1</t>
  </si>
  <si>
    <t>Michael Hutchinson</t>
  </si>
  <si>
    <t>16be9e95-30b7-4937-9f86-52d80e53a421</t>
  </si>
  <si>
    <t>Victoria Ross</t>
  </si>
  <si>
    <t>ddf870e3-d8f5-4300-b755-443d750d0c97</t>
  </si>
  <si>
    <t>Miguel Harrington</t>
  </si>
  <si>
    <t>c2805780-81df-440f-b57c-ecae200fa568</t>
  </si>
  <si>
    <t>Donald Walton</t>
  </si>
  <si>
    <t>fce41c66-8d9e-450e-a701-3af124aac614</t>
  </si>
  <si>
    <t>Tracy Lopez</t>
  </si>
  <si>
    <t>f15a5004-5564-4470-8c88-bedb65eb8f2e</t>
  </si>
  <si>
    <t>Bridget Chandler</t>
  </si>
  <si>
    <t>3745ace0-99a0-4aed-afd1-96c64e488ab8</t>
  </si>
  <si>
    <t>Laura Le</t>
  </si>
  <si>
    <t>f3df99f1-5040-4bce-9c23-9bc4295ebd38</t>
  </si>
  <si>
    <t>Amy Avila</t>
  </si>
  <si>
    <t>81188d0e-d270-49bd-b3d7-a2ab0d461512</t>
  </si>
  <si>
    <t>Timothy Orr</t>
  </si>
  <si>
    <t>8fda5c76-cc1d-41ab-a978-ff8ffe622d5f</t>
  </si>
  <si>
    <t>Ashley Thomas</t>
  </si>
  <si>
    <t>d0feff26-e5f2-4332-ac51-49cafe518301</t>
  </si>
  <si>
    <t>Nicole Campos</t>
  </si>
  <si>
    <t>b1feb39b-51ae-4004-b13a-62596b54006d</t>
  </si>
  <si>
    <t>Jesse Oconnor</t>
  </si>
  <si>
    <t>6be0f76a-43df-4b5e-95fd-e7099338370b</t>
  </si>
  <si>
    <t>David Young</t>
  </si>
  <si>
    <t>56165ea8-2859-47d8-bd56-8a496a6eb302</t>
  </si>
  <si>
    <t>Pamela Hawkins</t>
  </si>
  <si>
    <t>394093aa-401c-4f5b-9ab0-15ad984ed4e3</t>
  </si>
  <si>
    <t>Nancy Andrade</t>
  </si>
  <si>
    <t>5437b74f-99ba-4aa9-9368-6958ddcdf33c</t>
  </si>
  <si>
    <t>Jason Yu</t>
  </si>
  <si>
    <t>070af629-c8bf-4be5-97e6-7a88f728db3e</t>
  </si>
  <si>
    <t>Judith Hall</t>
  </si>
  <si>
    <t>ebd7af26-fd40-4fc4-8470-502499110aca</t>
  </si>
  <si>
    <t>Ashley Rosales</t>
  </si>
  <si>
    <t>a5781240-66c9-463a-8847-5032a9c7d978</t>
  </si>
  <si>
    <t>Charles Pierce</t>
  </si>
  <si>
    <t>f0aa170a-c0b9-45fc-88b5-a3d40e801994</t>
  </si>
  <si>
    <t>Meagan Bowman</t>
  </si>
  <si>
    <t>4de8bfa4-b592-4026-a122-31c17ab57b13</t>
  </si>
  <si>
    <t>Katie Hernandez</t>
  </si>
  <si>
    <t>e731eca3-361d-4c3b-a7d4-7ca78d29bbbd</t>
  </si>
  <si>
    <t>Angela Willis</t>
  </si>
  <si>
    <t>a9aa5401-e269-41dd-b065-8af6609b39af</t>
  </si>
  <si>
    <t>Lisa Schmitt</t>
  </si>
  <si>
    <t>3746c007-ce2e-4c10-bb47-08a546efa7a7</t>
  </si>
  <si>
    <t>Bryan Hill</t>
  </si>
  <si>
    <t>cf51f8fd-ed06-4276-a5fc-9a2dd1123e27</t>
  </si>
  <si>
    <t>Hannah Coleman</t>
  </si>
  <si>
    <t>331c1a11-7185-4e7b-bc83-c2695774d539</t>
  </si>
  <si>
    <t>Paul Merritt</t>
  </si>
  <si>
    <t>d44ad4b5-4ba0-4c25-abfe-92bf88eb8f86</t>
  </si>
  <si>
    <t>Shelly Gentry</t>
  </si>
  <si>
    <t>1f246bf2-bc9f-4b2a-a60e-998e8e3022f7</t>
  </si>
  <si>
    <t>Barbara Calhoun</t>
  </si>
  <si>
    <t>a4169e3d-2ec8-4618-b9e1-0d33667b5f6b</t>
  </si>
  <si>
    <t>Marcus Estrada</t>
  </si>
  <si>
    <t>0367ebd4-be32-4983-8bfb-210da7d4a55b</t>
  </si>
  <si>
    <t>Tiffany Kerr</t>
  </si>
  <si>
    <t>7bb8b08b-ad7c-4f39-b6c9-bfa7386dae7d</t>
  </si>
  <si>
    <t>Adrian Yoder</t>
  </si>
  <si>
    <t>bc53129d-fe95-4da4-9076-06ff61689c05</t>
  </si>
  <si>
    <t>Vincent Harvey</t>
  </si>
  <si>
    <t>c60c328d-48d4-4c76-8001-f0358cac6ba1</t>
  </si>
  <si>
    <t>Wendy Young</t>
  </si>
  <si>
    <t>ea4372b7-96cf-4f63-b479-7db669bc3737</t>
  </si>
  <si>
    <t>Veronica Porter</t>
  </si>
  <si>
    <t>81a0170f-f733-454b-864a-ff458302741f</t>
  </si>
  <si>
    <t>Ruben Sims</t>
  </si>
  <si>
    <t>a3d81f9b-d493-465c-9664-b9aeb2801ae3</t>
  </si>
  <si>
    <t>Robert Schroeder</t>
  </si>
  <si>
    <t>cb99a5ec-39da-498e-8fa3-8220a852858b</t>
  </si>
  <si>
    <t>Melissa Benson</t>
  </si>
  <si>
    <t>0f2aaac0-715e-4b0f-8994-e1f35a1fe6b7</t>
  </si>
  <si>
    <t>Eric Cook</t>
  </si>
  <si>
    <t>8e0ab7c9-07da-44b5-b8c1-42f9b2fa2aad</t>
  </si>
  <si>
    <t>Luis Miller</t>
  </si>
  <si>
    <t>5de833dd-8d55-4f12-a3c6-3c3bc4d83264</t>
  </si>
  <si>
    <t>Michael Randall</t>
  </si>
  <si>
    <t>be9e8649-7360-4038-91c1-e5a8d86b7627</t>
  </si>
  <si>
    <t>Brooke Gonzales</t>
  </si>
  <si>
    <t>30248d91-0e25-4837-961d-6ac5d0fd04d8</t>
  </si>
  <si>
    <t>Gloria Hubbard</t>
  </si>
  <si>
    <t>d8c0bb7f-0f0a-4f95-9f28-51e848b08515</t>
  </si>
  <si>
    <t>Thomas Davis</t>
  </si>
  <si>
    <t>821d8b23-8612-4b09-9ae8-9ed604686c4d</t>
  </si>
  <si>
    <t>Thomas Green</t>
  </si>
  <si>
    <t>fb68affd-dd6f-47d7-a74d-681d8fe8a9b3</t>
  </si>
  <si>
    <t>Sean Richardson</t>
  </si>
  <si>
    <t>a41b5347-520e-4b05-b11e-05918fe4f09e</t>
  </si>
  <si>
    <t>43706671-b327-47ee-9b4f-7d42ed00e907</t>
  </si>
  <si>
    <t>Samuel Jones</t>
  </si>
  <si>
    <t>b0202c17-6485-4416-9109-b29981ab901f</t>
  </si>
  <si>
    <t>Chelsea Franklin</t>
  </si>
  <si>
    <t>56b89a7f-bd48-4c79-bc1e-f650150644fb</t>
  </si>
  <si>
    <t>Eric Steele</t>
  </si>
  <si>
    <t>ae8f2a5d-66eb-454c-9f15-5e5f4a3385c1</t>
  </si>
  <si>
    <t>Jessica Moore</t>
  </si>
  <si>
    <t>6cbf2814-71d4-4421-aa80-ddd796fb86a7</t>
  </si>
  <si>
    <t>Jared Parsons</t>
  </si>
  <si>
    <t>1d271034-3f05-4c4b-9df7-100597b44cba</t>
  </si>
  <si>
    <t>Paul Kennedy</t>
  </si>
  <si>
    <t>55807821-57f2-4490-b652-434c83c7e341</t>
  </si>
  <si>
    <t>Zachary Gomez</t>
  </si>
  <si>
    <t>647330bd-6b48-4a23-bc2b-16f4a86e22af</t>
  </si>
  <si>
    <t>Michael Villegas</t>
  </si>
  <si>
    <t>f99b13c3-34cc-444a-ad88-365eba080f6f</t>
  </si>
  <si>
    <t>Keith Barnes</t>
  </si>
  <si>
    <t>fe5e2959-49a4-4aa4-a122-d6900001e9c2</t>
  </si>
  <si>
    <t>Mrs. Christina Smith</t>
  </si>
  <si>
    <t>5e8ae2e2-598a-4e97-aa36-fcb3325db30b</t>
  </si>
  <si>
    <t>John Moss</t>
  </si>
  <si>
    <t>116cc056-3d69-483f-8886-e9942bd3929b</t>
  </si>
  <si>
    <t>Mark Shaw</t>
  </si>
  <si>
    <t>c01f4edd-da2d-4e78-bb45-c444a68173a7</t>
  </si>
  <si>
    <t>Lisa Anderson</t>
  </si>
  <si>
    <t>42fa686c-c6da-4c9e-a388-95d94e856a21</t>
  </si>
  <si>
    <t>Victoria Richards</t>
  </si>
  <si>
    <t>73a3b73c-8d6f-4f02-806f-f45fd866581a</t>
  </si>
  <si>
    <t>Gregory Patterson</t>
  </si>
  <si>
    <t>e3f36307-6907-4120-b943-32b6977fdba2</t>
  </si>
  <si>
    <t>Jessica Hanson</t>
  </si>
  <si>
    <t>e0d5311b-c2d8-487b-a0f4-9e6ca786efd3</t>
  </si>
  <si>
    <t>Daisy Kennedy</t>
  </si>
  <si>
    <t>e12eb15c-e2f2-4c0e-a69c-81df29086e47</t>
  </si>
  <si>
    <t>Brandy Dickson</t>
  </si>
  <si>
    <t>d48ac23f-c802-43fc-9641-1b14b6086f4d</t>
  </si>
  <si>
    <t>Zachary Hernandez</t>
  </si>
  <si>
    <t>dc6d00bd-9d6d-4820-82f5-1c2c84ea3a64</t>
  </si>
  <si>
    <t>Melissa Harvey</t>
  </si>
  <si>
    <t>9b25db3c-dbf4-44cd-a891-ca60ea593a83</t>
  </si>
  <si>
    <t>Tammy Brown MD</t>
  </si>
  <si>
    <t>991a308d-8c3b-41e0-af48-e84c5b3c3601</t>
  </si>
  <si>
    <t>Anthony Cowan</t>
  </si>
  <si>
    <t>516bd874-616a-4e15-b3cc-7f0fa52d36ba</t>
  </si>
  <si>
    <t>Katie Daniel</t>
  </si>
  <si>
    <t>c79534a9-d0c3-4953-b17e-9ea2462f801f</t>
  </si>
  <si>
    <t>Cheryl Winters DDS</t>
  </si>
  <si>
    <t>0cddccd7-b7ab-4e1f-a2e9-28f9375d4129</t>
  </si>
  <si>
    <t>Christopher Sanchez</t>
  </si>
  <si>
    <t>3f9340ee-5200-4c4f-9a65-1d86f20cea5a</t>
  </si>
  <si>
    <t>Amy Pennington</t>
  </si>
  <si>
    <t>32889b5a-9e47-415e-b6d9-5baed20f596e</t>
  </si>
  <si>
    <t>Dale Henderson</t>
  </si>
  <si>
    <t>f274c587-7666-4052-bf17-47bf5a9b4438</t>
  </si>
  <si>
    <t>Robert Richardson</t>
  </si>
  <si>
    <t>95455ea4-fe12-4cf9-9c3f-1679844136a1</t>
  </si>
  <si>
    <t>Charles Berry</t>
  </si>
  <si>
    <t>d9e2b2ce-9662-490c-a6e4-49ad4395ed1d</t>
  </si>
  <si>
    <t>Michele Dixon</t>
  </si>
  <si>
    <t>a224fe43-b2c8-4fab-ae69-22a070ab0107</t>
  </si>
  <si>
    <t>Marie Castro</t>
  </si>
  <si>
    <t>231a51cc-9f7f-4204-9bbd-d8be172d920d</t>
  </si>
  <si>
    <t>Linda Dickerson</t>
  </si>
  <si>
    <t>20b19e75-8ed3-434a-a096-65d75b559de4</t>
  </si>
  <si>
    <t>Dale Adkins</t>
  </si>
  <si>
    <t>f996f182-fc32-46cb-9176-8bff491753ea</t>
  </si>
  <si>
    <t>Jesus Dawson</t>
  </si>
  <si>
    <t>a1c94635-0f6b-4929-a77b-0f408312ae3b</t>
  </si>
  <si>
    <t>Tiffany Collier</t>
  </si>
  <si>
    <t>b3f1bf36-aeda-4ac5-ab13-3f1b28b19712</t>
  </si>
  <si>
    <t>Adam Collins</t>
  </si>
  <si>
    <t>3310066e-61a0-4dd1-8fed-2993f19e76a6</t>
  </si>
  <si>
    <t>James Smith</t>
  </si>
  <si>
    <t>affdcaac-d224-403b-bfdc-712fb379dbcf</t>
  </si>
  <si>
    <t>Jennifer Howard</t>
  </si>
  <si>
    <t>f4a092f4-5e22-416a-8ea7-76fa120e2818</t>
  </si>
  <si>
    <t>Jessica Whitaker</t>
  </si>
  <si>
    <t>bd2f8aed-392b-4264-966d-7f4adef22fd7</t>
  </si>
  <si>
    <t>Sarah Nash</t>
  </si>
  <si>
    <t>dc058306-6e14-497a-92be-6ac8f7633472</t>
  </si>
  <si>
    <t>Maria Torres</t>
  </si>
  <si>
    <t>005ce951-ba5f-4d30-ba06-c5675f1126c3</t>
  </si>
  <si>
    <t>Jeremiah Baker</t>
  </si>
  <si>
    <t>16fa4f12-f7bc-4ad0-82dc-2dfdb87baaec</t>
  </si>
  <si>
    <t>Julie Bernard</t>
  </si>
  <si>
    <t>e962ccae-35ff-4417-a6d1-24eb6b6a410c</t>
  </si>
  <si>
    <t>Thomas Daniels</t>
  </si>
  <si>
    <t>9ec5cc77-c46d-4517-a721-87f478ffeb58</t>
  </si>
  <si>
    <t>Jeffrey Byrd</t>
  </si>
  <si>
    <t>b9de5582-8495-4bfc-8b2a-2c008edac912</t>
  </si>
  <si>
    <t>Melissa Schaefer</t>
  </si>
  <si>
    <t>d25b6fcc-161f-44b9-aec8-1dde10212367</t>
  </si>
  <si>
    <t>Brian Contreras</t>
  </si>
  <si>
    <t>77e04473-1944-4913-adcc-a3dee80e550a</t>
  </si>
  <si>
    <t>Michael Martin</t>
  </si>
  <si>
    <t>e4378624-fe89-420a-bd2e-99868ff3b778</t>
  </si>
  <si>
    <t>Debra Fuller</t>
  </si>
  <si>
    <t>0d115c27-848b-44de-b90b-d6f3d29433f1</t>
  </si>
  <si>
    <t>Daniel Arnold</t>
  </si>
  <si>
    <t>bf6319c9-b574-4643-9ee9-439555dd4dc9</t>
  </si>
  <si>
    <t>Samuel Rhodes</t>
  </si>
  <si>
    <t>3cc12ae0-e4a1-403d-b608-2115840b10f4</t>
  </si>
  <si>
    <t>Sarah Johns</t>
  </si>
  <si>
    <t>a37fd3e6-2569-43da-b660-c4b548ea0041</t>
  </si>
  <si>
    <t>Christina Baldwin</t>
  </si>
  <si>
    <t>d6c60859-d7f0-4fb8-8edd-e495c461d954</t>
  </si>
  <si>
    <t>Mr. Alexander Brown</t>
  </si>
  <si>
    <t>5ae8b977-3587-4917-b506-c45feac34acb</t>
  </si>
  <si>
    <t>Kristin Mercado</t>
  </si>
  <si>
    <t>4f67fc68-5b98-49cc-ba4d-1c080a234905</t>
  </si>
  <si>
    <t>Kelly Martinez</t>
  </si>
  <si>
    <t>57a6c630-14e2-4234-8d99-d343ff52fd46</t>
  </si>
  <si>
    <t>Whitney Nolan</t>
  </si>
  <si>
    <t>6342513c-e30f-4802-b3a5-ec3896290e8e</t>
  </si>
  <si>
    <t>Rachel Lucas</t>
  </si>
  <si>
    <t>1441c0c5-305b-480d-9f40-a21222d8a933</t>
  </si>
  <si>
    <t>ab39ecae-f0de-459d-98ef-b4399729087d</t>
  </si>
  <si>
    <t>Timothy Knight</t>
  </si>
  <si>
    <t>c350f59d-5e98-4554-a8a2-97b6ada8155e</t>
  </si>
  <si>
    <t>Matthew Prince</t>
  </si>
  <si>
    <t>4d851665-6e89-4ab9-a550-d18df92c7809</t>
  </si>
  <si>
    <t>Damon Mayer</t>
  </si>
  <si>
    <t>32f5c9f5-a8b8-4f82-a25c-47bbfdf2cb9b</t>
  </si>
  <si>
    <t>Monica Johnson</t>
  </si>
  <si>
    <t>2510190b-a7f8-4044-84fd-d89337cc8f81</t>
  </si>
  <si>
    <t>Heather Keller</t>
  </si>
  <si>
    <t>855e4001-7106-43d2-9096-13de13747653</t>
  </si>
  <si>
    <t>Mark Gibson</t>
  </si>
  <si>
    <t>a05239ab-137a-4658-80ce-471b7f152d67</t>
  </si>
  <si>
    <t>Monica Christian</t>
  </si>
  <si>
    <t>3a125530-c91d-4a46-92be-3bb62ee8fddd</t>
  </si>
  <si>
    <t>Karen Lewis</t>
  </si>
  <si>
    <t>dd973992-9d68-4ee4-a33d-77c329216830</t>
  </si>
  <si>
    <t>John Martin</t>
  </si>
  <si>
    <t>fd78c7d5-9113-4278-925d-a58bc47490bf</t>
  </si>
  <si>
    <t>Edward Howard</t>
  </si>
  <si>
    <t>3569e3c3-cf3e-4cc0-8b0d-544f6a6514dc</t>
  </si>
  <si>
    <t>Christopher Wilkins</t>
  </si>
  <si>
    <t>a24439f4-773e-4e6e-af4b-f34e011a3f30</t>
  </si>
  <si>
    <t>fe9898e6-ffd2-4054-b720-bd2221432952</t>
  </si>
  <si>
    <t>Michael Ellis</t>
  </si>
  <si>
    <t>44018bb4-98c0-4edf-911b-7198c483c83b</t>
  </si>
  <si>
    <t>Glenn Brown</t>
  </si>
  <si>
    <t>c4f08c37-da27-4f8a-abfa-317a64606811</t>
  </si>
  <si>
    <t>Wanda Reynolds</t>
  </si>
  <si>
    <t>bcf20636-06cc-43d8-91f4-04647e696588</t>
  </si>
  <si>
    <t>Heather Mitchell</t>
  </si>
  <si>
    <t>88cbe308-9747-4990-b979-2454e7814442</t>
  </si>
  <si>
    <t>Lauren Simpson</t>
  </si>
  <si>
    <t>89cc3055-da98-4fb6-9caa-58a7796d73c8</t>
  </si>
  <si>
    <t>Jason Marshall</t>
  </si>
  <si>
    <t>1adf0ff3-988a-471e-9476-b44809da221d</t>
  </si>
  <si>
    <t>Laurie Barker</t>
  </si>
  <si>
    <t>655a9cb7-5743-4200-b9d8-2abd2568f353</t>
  </si>
  <si>
    <t>Susan Ho</t>
  </si>
  <si>
    <t>8ba9c152-bd8b-4429-9f37-418caf59028a</t>
  </si>
  <si>
    <t>Brandon Aguirre</t>
  </si>
  <si>
    <t>31f9d740-b5b0-43b0-bc46-5d3be5289d27</t>
  </si>
  <si>
    <t>Elizabeth Williams</t>
  </si>
  <si>
    <t>672b723b-4597-4897-af1e-fcbc6d28c51e</t>
  </si>
  <si>
    <t>Charles Decker</t>
  </si>
  <si>
    <t>84190af1-3cad-411f-adbd-f299df73fd63</t>
  </si>
  <si>
    <t>Anthony Harding</t>
  </si>
  <si>
    <t>b33ab568-e688-46d3-9665-64592ce421ac</t>
  </si>
  <si>
    <t>Brian Johnson</t>
  </si>
  <si>
    <t>8736e2e4-11a5-4e99-a11d-10cecafc574b</t>
  </si>
  <si>
    <t>Dana Richardson</t>
  </si>
  <si>
    <t>9e8600e4-c41e-4351-834a-6ac95421955d</t>
  </si>
  <si>
    <t>Rebecca Perry</t>
  </si>
  <si>
    <t>7f5e5cb6-c330-428d-af57-d9e3212ad342</t>
  </si>
  <si>
    <t>Michael Cook</t>
  </si>
  <si>
    <t>651a3622-6f75-4c45-afb6-022ad11a1cd3</t>
  </si>
  <si>
    <t>David Rogers</t>
  </si>
  <si>
    <t>73bfab2c-b6d2-40aa-b04f-052e5f376622</t>
  </si>
  <si>
    <t>Larry Hartman</t>
  </si>
  <si>
    <t>a12b4093-9fa7-4ee2-9893-1af55a488175</t>
  </si>
  <si>
    <t>Crystal Duke</t>
  </si>
  <si>
    <t>edad727b-777b-4ed0-a735-84012f0c21ca</t>
  </si>
  <si>
    <t>Cole Rivera</t>
  </si>
  <si>
    <t>ae47ba05-ec34-4fd3-a001-882503fd71a0</t>
  </si>
  <si>
    <t>Michael Williams</t>
  </si>
  <si>
    <t>67208666-a3d1-4fbb-831e-056064159e00</t>
  </si>
  <si>
    <t>Ronald Brown</t>
  </si>
  <si>
    <t>cf265e29-fc7a-4ee9-9183-9cd7571331ca</t>
  </si>
  <si>
    <t>Austin Smith</t>
  </si>
  <si>
    <t>88c08b6d-2e81-4a73-a2b6-4882ef921d1b</t>
  </si>
  <si>
    <t>Kristen Bryant</t>
  </si>
  <si>
    <t>73553bce-9c35-427c-9de4-64209e804be3</t>
  </si>
  <si>
    <t>Susan Smith</t>
  </si>
  <si>
    <t>98610434-673d-4d5c-8420-9d27aef98e96</t>
  </si>
  <si>
    <t>Michael Smith</t>
  </si>
  <si>
    <t>b9ab20a9-2071-4fe8-afa1-f4cf2a975019</t>
  </si>
  <si>
    <t>Douglas Wolfe</t>
  </si>
  <si>
    <t>547be384-9f46-4e1c-b97a-9349c34d5a2c</t>
  </si>
  <si>
    <t>Brittany Pennington</t>
  </si>
  <si>
    <t>61ea0f61-4d25-4cee-98cc-e3bca98e2b0f</t>
  </si>
  <si>
    <t>Taylor Jenkins</t>
  </si>
  <si>
    <t>8649f505-209e-4d60-b140-81ba27816b1b</t>
  </si>
  <si>
    <t>Nicole Wagner</t>
  </si>
  <si>
    <t>458fa8a5-0578-4fb0-b651-bb2b578ba6b3</t>
  </si>
  <si>
    <t>Timothy Brooks</t>
  </si>
  <si>
    <t>dec6289e-d880-45b2-bb6a-c0e4e0682411</t>
  </si>
  <si>
    <t>Laurie Payne</t>
  </si>
  <si>
    <t>2a6ee8f2-dd7d-497a-97f2-4b25dbe5eb9e</t>
  </si>
  <si>
    <t>Mark Dillon</t>
  </si>
  <si>
    <t>483929f3-9ad7-4cf8-9175-efcccbcdb0d6</t>
  </si>
  <si>
    <t>Anita Wiley</t>
  </si>
  <si>
    <t>a9a6901e-8d0c-400a-8a7a-4d7d17c5498f</t>
  </si>
  <si>
    <t>Stephanie Sharp</t>
  </si>
  <si>
    <t>795b8898-b1eb-4212-a49d-62acc667d864</t>
  </si>
  <si>
    <t>Douglas Price</t>
  </si>
  <si>
    <t>c2f8af13-f74d-478f-9851-3e312d404ad3</t>
  </si>
  <si>
    <t>Jennifer Larson</t>
  </si>
  <si>
    <t>95293140-bd51-4983-8cc2-bec0925f15be</t>
  </si>
  <si>
    <t>Anna Abbott</t>
  </si>
  <si>
    <t>6f21bc05-d34c-44e5-87b4-96313bcf5226</t>
  </si>
  <si>
    <t>Michele Wiggins</t>
  </si>
  <si>
    <t>b62ac038-b923-4dc0-bd19-01a21980dd06</t>
  </si>
  <si>
    <t>Arthur Williams</t>
  </si>
  <si>
    <t>f4e4d63a-9fe1-4cfd-b0ad-9fd466cc41eb</t>
  </si>
  <si>
    <t>Mr. Carl Carroll</t>
  </si>
  <si>
    <t>d6261ffb-2752-437d-b13e-259cfa400567</t>
  </si>
  <si>
    <t>Kimberly Walker</t>
  </si>
  <si>
    <t>17b9a865-228e-4412-b1bd-acf8e3db70cd</t>
  </si>
  <si>
    <t>Jenna Hernandez</t>
  </si>
  <si>
    <t>f0ca6892-6130-4c50-ba65-9e0f7a52ea27</t>
  </si>
  <si>
    <t>Shawn Schultz</t>
  </si>
  <si>
    <t>7640f397-d72c-42b8-bab7-783946d4590c</t>
  </si>
  <si>
    <t>Denise Lee</t>
  </si>
  <si>
    <t>48a09ce3-ef76-4e45-bd78-182db9a762c9</t>
  </si>
  <si>
    <t>Ann Stafford</t>
  </si>
  <si>
    <t>f8ad7681-db03-44a7-bd45-184612c2978b</t>
  </si>
  <si>
    <t>Kelsey Smith</t>
  </si>
  <si>
    <t>ab3c91ee-657c-4c0d-8c59-cab057c5f9dd</t>
  </si>
  <si>
    <t>Kenneth Buck</t>
  </si>
  <si>
    <t>33bc9e9a-fa72-4f27-a214-32025d49668a</t>
  </si>
  <si>
    <t>Nicole Garcia</t>
  </si>
  <si>
    <t>2d8978ae-dfcd-40d8-8b0f-fbd2b416c30f</t>
  </si>
  <si>
    <t>Amy Orr</t>
  </si>
  <si>
    <t>76142c39-0a2b-44df-92f1-6a329de0ab8a</t>
  </si>
  <si>
    <t>Julie Zavala</t>
  </si>
  <si>
    <t>509e1d08-2771-49d6-90b6-bd3d3a3e54a3</t>
  </si>
  <si>
    <t>Kathryn Gonzalez</t>
  </si>
  <si>
    <t>f31ac7e1-c9b7-4429-bced-5e3597d8ed50</t>
  </si>
  <si>
    <t>George Mayer</t>
  </si>
  <si>
    <t>713d65e3-1936-4b1f-a1f1-8d33a8c12f20</t>
  </si>
  <si>
    <t>Gary Powers</t>
  </si>
  <si>
    <t>9df226cc-aecb-4e30-96ed-dfc6013ac5b7</t>
  </si>
  <si>
    <t>Teresa Williams</t>
  </si>
  <si>
    <t>cc5cd278-f538-45a7-af5c-00cffb75716d</t>
  </si>
  <si>
    <t>Julia Thomas</t>
  </si>
  <si>
    <t>fb769f67-5b89-4fff-ae76-984e5ae7154f</t>
  </si>
  <si>
    <t>Felicia Walsh</t>
  </si>
  <si>
    <t>616b12b9-5c59-4dd6-903a-7a68b7ed81d4</t>
  </si>
  <si>
    <t>Karen Herman</t>
  </si>
  <si>
    <t>1200747c-c6dd-4c7b-9a4e-d21d4ad7c513</t>
  </si>
  <si>
    <t>Matthew James</t>
  </si>
  <si>
    <t>db452cab-5e09-438d-bf9f-e7190443cdca</t>
  </si>
  <si>
    <t>Michele Baker</t>
  </si>
  <si>
    <t>45f1ce62-7711-4fbc-b41d-159f4aee9642</t>
  </si>
  <si>
    <t>Mario Dougherty</t>
  </si>
  <si>
    <t>f5608c0d-09d0-4c6c-90ad-740fc0328621</t>
  </si>
  <si>
    <t>Neil Branch</t>
  </si>
  <si>
    <t>e005eb67-ad78-4a1d-8b78-4a2f2df86fd6</t>
  </si>
  <si>
    <t>Christopher Miller</t>
  </si>
  <si>
    <t>78f2d8b9-e34f-45c5-8bfb-43ad75765b55</t>
  </si>
  <si>
    <t>Christine Liu</t>
  </si>
  <si>
    <t>c671527d-10a0-400a-a6e5-119f096a1a41</t>
  </si>
  <si>
    <t>William Walls III</t>
  </si>
  <si>
    <t>e8afe976-8dd2-4c45-812f-d0ef5767b2b0</t>
  </si>
  <si>
    <t>Brenda Ramirez DDS</t>
  </si>
  <si>
    <t>20db283f-edcc-433f-9215-c4fd8a29af12</t>
  </si>
  <si>
    <t>Kayla Hess</t>
  </si>
  <si>
    <t>662cdc0a-be54-4b35-9e0a-949fba55a834</t>
  </si>
  <si>
    <t>Scott Taylor</t>
  </si>
  <si>
    <t>58787327-7eee-4bf3-af41-3fff472271e1</t>
  </si>
  <si>
    <t>Joshua Williams</t>
  </si>
  <si>
    <t>d9efd49d-accc-4745-8802-67ca95eb3c3c</t>
  </si>
  <si>
    <t>Jeremy Hughes</t>
  </si>
  <si>
    <t>75e7aa68-c321-450e-b6ac-aa28375591a3</t>
  </si>
  <si>
    <t>Cindy Boyd</t>
  </si>
  <si>
    <t>ced1c7c5-b95a-4059-8441-1f96a9020781</t>
  </si>
  <si>
    <t>Mark Murray</t>
  </si>
  <si>
    <t>d5fa6fd2-fa34-4e76-9224-7cdb1f042d5a</t>
  </si>
  <si>
    <t>Ashley Burch</t>
  </si>
  <si>
    <t>64693c14-68ae-411a-bd24-883b63a7bab5</t>
  </si>
  <si>
    <t>Anthony Christian</t>
  </si>
  <si>
    <t>5995da75-3885-41b9-abc4-7d028561bae0</t>
  </si>
  <si>
    <t>Erika Mccullough</t>
  </si>
  <si>
    <t>25faa6fa-bdf1-47d4-866a-f300f3c1c820</t>
  </si>
  <si>
    <t>Brian Simon</t>
  </si>
  <si>
    <t>4b4d24b2-b2e2-4d98-b066-eed6d2957175</t>
  </si>
  <si>
    <t>Patricia Rodriguez</t>
  </si>
  <si>
    <t>6cc23abb-cf6a-40b0-a1d9-b91b19ad925c</t>
  </si>
  <si>
    <t>Michael Chavez</t>
  </si>
  <si>
    <t>2dea98e9-9a5e-4e6b-aabc-ea98123e039e</t>
  </si>
  <si>
    <t>Dave Walker</t>
  </si>
  <si>
    <t>9384344e-02a3-412b-ab6a-2ab8bec65bcb</t>
  </si>
  <si>
    <t>Courtney Alvarado</t>
  </si>
  <si>
    <t>e9de0ab4-ced8-43a8-86b0-554c97432255</t>
  </si>
  <si>
    <t>Tina Harris</t>
  </si>
  <si>
    <t>4e3abe27-780a-4448-a573-bd3a75ed4410</t>
  </si>
  <si>
    <t>Kristy Palmer</t>
  </si>
  <si>
    <t>f2d836af-0bcd-40a1-9c5c-e7345a346609</t>
  </si>
  <si>
    <t>Brandon Lopez</t>
  </si>
  <si>
    <t>3e02811e-c96e-49f5-bbe9-ef77d7f47c0e</t>
  </si>
  <si>
    <t>Geoffrey Carr</t>
  </si>
  <si>
    <t>21cc7f18-bf14-4c84-b379-bf24a6a97725</t>
  </si>
  <si>
    <t>Brandy Bryant</t>
  </si>
  <si>
    <t>6c487786-6f6a-4d74-80c6-0998a072144d</t>
  </si>
  <si>
    <t>Derrick Lewis</t>
  </si>
  <si>
    <t>bc0abde7-832d-4488-a941-d6a03ff30d9f</t>
  </si>
  <si>
    <t>Luis Johnston</t>
  </si>
  <si>
    <t>3438b6cd-dc60-4594-9030-b2a0ad9bd77e</t>
  </si>
  <si>
    <t>Rebecca Lam</t>
  </si>
  <si>
    <t>1ce69c7e-77e8-47a8-ae54-10216bd9234e</t>
  </si>
  <si>
    <t>Amanda Romero</t>
  </si>
  <si>
    <t>9f9957a1-65de-454f-8df7-f92ab48ec93c</t>
  </si>
  <si>
    <t>Luis Stephens</t>
  </si>
  <si>
    <t>8391687f-3118-4ad9-9802-5e26a0d5d362</t>
  </si>
  <si>
    <t>Carlos Jefferson</t>
  </si>
  <si>
    <t>63c9b9b7-30ea-4f73-9dc7-49deb0abbc51</t>
  </si>
  <si>
    <t>John Shah</t>
  </si>
  <si>
    <t>83ee89f0-b15f-4a14-be72-f132e8f9bb74</t>
  </si>
  <si>
    <t>Megan Molina</t>
  </si>
  <si>
    <t>0f0098ba-7c8d-41ba-b888-2f49a10d9e69</t>
  </si>
  <si>
    <t>Matthew Adams</t>
  </si>
  <si>
    <t>ed346151-588f-454e-88ef-e3876e8edc9e</t>
  </si>
  <si>
    <t>Mr. Damon Castro</t>
  </si>
  <si>
    <t>e9cfcff7-c115-4381-b352-65fb16a3bf56</t>
  </si>
  <si>
    <t>Margaret Burgess</t>
  </si>
  <si>
    <t>8aea9931-7730-46fa-a4de-714f13bc5d2c</t>
  </si>
  <si>
    <t>Patricia Jones</t>
  </si>
  <si>
    <t>d05fe607-e1d6-46ad-a302-55a90e21073d</t>
  </si>
  <si>
    <t>Mr. Eric Doyle MD</t>
  </si>
  <si>
    <t>38d21210-dbc1-4cdd-a39a-44e5e88ba08a</t>
  </si>
  <si>
    <t>William Rhodes</t>
  </si>
  <si>
    <t>4cb2b287-53a0-4898-9253-40dc832e0f3f</t>
  </si>
  <si>
    <t>Rebecca Jones</t>
  </si>
  <si>
    <t>706eafba-f276-481e-890f-79e0c5e39671</t>
  </si>
  <si>
    <t>Tammy Rios</t>
  </si>
  <si>
    <t>8a8be36a-405e-4564-9130-09e86b4184ab</t>
  </si>
  <si>
    <t>Tabitha Malone</t>
  </si>
  <si>
    <t>56319a84-879d-400d-b9b9-c8ddfba46b3e</t>
  </si>
  <si>
    <t>Warren Wilson</t>
  </si>
  <si>
    <t>5a773377-02e7-492c-b404-8bac19586f33</t>
  </si>
  <si>
    <t>Elizabeth Bennett</t>
  </si>
  <si>
    <t>2aa81ea5-ece0-4d0b-aea1-e462688347bc</t>
  </si>
  <si>
    <t>Scott Wells</t>
  </si>
  <si>
    <t>917cdd2c-0332-4562-8da4-5223c1dbbb8d</t>
  </si>
  <si>
    <t>Katherine Wilkins</t>
  </si>
  <si>
    <t>260fd877-8660-468d-92e6-a511e72f9690</t>
  </si>
  <si>
    <t>Timothy Baldwin</t>
  </si>
  <si>
    <t>f8d5f0b0-ce56-48e6-933f-3e6fa7ac4fc9</t>
  </si>
  <si>
    <t>David Graham</t>
  </si>
  <si>
    <t>3db435c8-6223-4b24-85bb-ab2f3199b67e</t>
  </si>
  <si>
    <t>Denise Flores</t>
  </si>
  <si>
    <t>afa293b1-a527-475f-ad78-708ccc26fec5</t>
  </si>
  <si>
    <t>Christopher Gray</t>
  </si>
  <si>
    <t>2e6109d9-bde8-4864-b05e-e9ebc0c112d0</t>
  </si>
  <si>
    <t>Mary Howard</t>
  </si>
  <si>
    <t>4ebdc13b-0692-4729-ae64-d00d36098823</t>
  </si>
  <si>
    <t>Lisa Little</t>
  </si>
  <si>
    <t>7707bbd7-145c-4535-b84a-45a8e8546924</t>
  </si>
  <si>
    <t>Olivia Allen</t>
  </si>
  <si>
    <t>7a1e8e17-29c9-4f9a-a783-323b5238d779</t>
  </si>
  <si>
    <t>Larry Moses</t>
  </si>
  <si>
    <t>2eb2049e-27f1-4b06-8af7-ededea8d9c59</t>
  </si>
  <si>
    <t>Renee Frank</t>
  </si>
  <si>
    <t>25935d66-0791-4975-bff4-6db0c4b445ae</t>
  </si>
  <si>
    <t>Micheal Lucas</t>
  </si>
  <si>
    <t>a0ed3210-9fc4-4b0f-b5c5-23f74e5d2091</t>
  </si>
  <si>
    <t>David Roberts</t>
  </si>
  <si>
    <t>902e158f-a607-4f72-b1bd-f7b09a1b908a</t>
  </si>
  <si>
    <t>Maria King</t>
  </si>
  <si>
    <t>c8673dd3-beec-4205-a816-6d67c024c109</t>
  </si>
  <si>
    <t>Taylor French</t>
  </si>
  <si>
    <t>30aa4a48-545e-4052-bad5-bcc68e4a9877</t>
  </si>
  <si>
    <t>Ralph Washington</t>
  </si>
  <si>
    <t>c0523829-fee4-4206-919b-7050ee85d7a6</t>
  </si>
  <si>
    <t>Morgan Campbell</t>
  </si>
  <si>
    <t>e7ad8a94-d865-4f10-a942-eda2aeeb550e</t>
  </si>
  <si>
    <t>Donald Bowman</t>
  </si>
  <si>
    <t>9b6341b4-0bc8-4da1-a510-367403b0e021</t>
  </si>
  <si>
    <t>Jesus Edwards</t>
  </si>
  <si>
    <t>f627bf8c-5bee-42cb-a3fc-8a4b9e00f34b</t>
  </si>
  <si>
    <t>Angela Gardner</t>
  </si>
  <si>
    <t>4805f070-41c5-4d34-8b32-a6811663b8e7</t>
  </si>
  <si>
    <t>Kristen Stephenson</t>
  </si>
  <si>
    <t>251fa1ab-6244-4485-a2b3-c4ba853d0d2c</t>
  </si>
  <si>
    <t>David Allen</t>
  </si>
  <si>
    <t>baf4f1c4-c28f-4b83-b993-003a3e8b1917</t>
  </si>
  <si>
    <t>Tracy Figueroa</t>
  </si>
  <si>
    <t>27ecbdf7-8b71-4a68-b4b0-54f9c89bc47f</t>
  </si>
  <si>
    <t>Bryan Davidson</t>
  </si>
  <si>
    <t>52d7ea40-9f5e-451e-9128-cb62e9e2a311</t>
  </si>
  <si>
    <t>Debra Aguilar</t>
  </si>
  <si>
    <t>5fa37b1e-3bbf-4182-bb2d-f4fadd7cac19</t>
  </si>
  <si>
    <t>Heather Wright</t>
  </si>
  <si>
    <t>ca2de995-5a2e-4b93-9759-5e645808b419</t>
  </si>
  <si>
    <t>Walter Hess</t>
  </si>
  <si>
    <t>afb3377f-a2df-4ad1-8559-1b0ff8b103a1</t>
  </si>
  <si>
    <t>Kristen Chaney</t>
  </si>
  <si>
    <t>ce78d751-2232-4103-8638-723a94d02c68</t>
  </si>
  <si>
    <t>Jillian Beasley</t>
  </si>
  <si>
    <t>4dec7998-6022-427a-bfdd-4a8ddafa640f</t>
  </si>
  <si>
    <t>Jeffery Hall</t>
  </si>
  <si>
    <t>58a07df2-0b8b-40b1-b3cd-0f9b88b24552</t>
  </si>
  <si>
    <t>Bobby Garcia</t>
  </si>
  <si>
    <t>728232f1-5366-4d41-9702-9dcb547b7a23</t>
  </si>
  <si>
    <t>Thomas Hines</t>
  </si>
  <si>
    <t>e694c399-5eff-43ab-b90a-1eb23e1db9b0</t>
  </si>
  <si>
    <t>Brittany Fisher</t>
  </si>
  <si>
    <t>b5250cfc-e119-4989-9f11-82f183bd9497</t>
  </si>
  <si>
    <t>Matthew Murphy</t>
  </si>
  <si>
    <t>97f24dad-e9c4-40c2-b690-c7f06186e0c5</t>
  </si>
  <si>
    <t>Jason Wise</t>
  </si>
  <si>
    <t>3abb8d56-dc80-4143-aa64-0e9771de573e</t>
  </si>
  <si>
    <t>April Wilson</t>
  </si>
  <si>
    <t>6c21ba00-2276-48c1-b6b9-e4bcfe36e02e</t>
  </si>
  <si>
    <t>Derek Powell</t>
  </si>
  <si>
    <t>5bbdea84-1070-4a39-ae79-443ff835526a</t>
  </si>
  <si>
    <t>Patrick Owens</t>
  </si>
  <si>
    <t>eef7e98a-2dd6-4cc0-8239-b0846d4e2e79</t>
  </si>
  <si>
    <t>Wendy Jenkins</t>
  </si>
  <si>
    <t>a01bbd68-3088-435b-a200-daa6e15af18e</t>
  </si>
  <si>
    <t>Lauren Murray</t>
  </si>
  <si>
    <t>acc114e3-7065-4bab-907d-48c8f59b78f0</t>
  </si>
  <si>
    <t>Kimberly Munoz</t>
  </si>
  <si>
    <t>5963264e-4c76-4631-b17d-2ee9a0b4228a</t>
  </si>
  <si>
    <t>Jessica Brady</t>
  </si>
  <si>
    <t>fed625bf-f58e-41e0-bf81-d9862ab9ade8</t>
  </si>
  <si>
    <t>Maria Chen</t>
  </si>
  <si>
    <t>248655d7-0598-43a3-bf8c-a6986bcad11a</t>
  </si>
  <si>
    <t>Daniel Marshall</t>
  </si>
  <si>
    <t>9daf0be4-4a8d-4ed7-9a0c-40df1ad56ee4</t>
  </si>
  <si>
    <t>James Brown</t>
  </si>
  <si>
    <t>bf9d6f93-2683-4e31-924f-bf9d00d7e43b</t>
  </si>
  <si>
    <t>Heidi Morris</t>
  </si>
  <si>
    <t>38c485b7-8c2e-4a38-8528-43e2e0ca3798</t>
  </si>
  <si>
    <t>Richard King</t>
  </si>
  <si>
    <t>5d6275ec-8b88-4048-b633-e0b6ebd8a468</t>
  </si>
  <si>
    <t>Luis Wilson</t>
  </si>
  <si>
    <t>5e6592db-43a7-48ee-93dc-1cdea8a2b906</t>
  </si>
  <si>
    <t>Laura Peterson</t>
  </si>
  <si>
    <t>0025a298-19b5-42f9-b664-b768d7f6f976</t>
  </si>
  <si>
    <t>Matthew Burton</t>
  </si>
  <si>
    <t>9d29dae1-026d-45cd-bdc9-46967916c538</t>
  </si>
  <si>
    <t>Steven Rivera</t>
  </si>
  <si>
    <t>25c0aee8-7aba-4892-ad14-fdf27806a130</t>
  </si>
  <si>
    <t>Kristie Chang</t>
  </si>
  <si>
    <t>d40bc964-ab4d-4ade-8d95-579e5bce55fb</t>
  </si>
  <si>
    <t>Eugene Mccann</t>
  </si>
  <si>
    <t>2e5d84b6-de8f-4a00-b441-d22d100927bb</t>
  </si>
  <si>
    <t>Jasmine Chase</t>
  </si>
  <si>
    <t>5c607cf9-9825-44ad-b1a9-2ed9adbf56d3</t>
  </si>
  <si>
    <t>Kevin Jordan</t>
  </si>
  <si>
    <t>9d84a9c0-08db-4d7e-bd3b-8bcdde67fb5a</t>
  </si>
  <si>
    <t>Jamie Parrish</t>
  </si>
  <si>
    <t>bf9903e9-89fc-441d-a7ce-9c2fb093b20e</t>
  </si>
  <si>
    <t>Brad Duncan</t>
  </si>
  <si>
    <t>3c74f733-b149-4273-89cc-a1df77cd1ed2</t>
  </si>
  <si>
    <t>Kyle Edwards</t>
  </si>
  <si>
    <t>6de2b7a0-34ed-44d8-adf2-6d81cedba1cf</t>
  </si>
  <si>
    <t>Karen Turner</t>
  </si>
  <si>
    <t>bacd8c0a-5006-4fe5-916e-f17e179969bd</t>
  </si>
  <si>
    <t>Amanda Mccarthy</t>
  </si>
  <si>
    <t>2b444cd5-5a0d-4e08-b9a4-2ea8391f921a</t>
  </si>
  <si>
    <t>Jason Mullins</t>
  </si>
  <si>
    <t>77ea965f-7f9e-41b7-b2b6-04d2f336f2a2</t>
  </si>
  <si>
    <t>Madeline Bautista</t>
  </si>
  <si>
    <t>37f74060-ea73-4dcc-a631-e95f382cb538</t>
  </si>
  <si>
    <t>Jeremiah Scott</t>
  </si>
  <si>
    <t>bace5aee-a810-4ee9-b34d-b84079e024ff</t>
  </si>
  <si>
    <t>Jennifer Trujillo</t>
  </si>
  <si>
    <t>854995ea-78fc-435d-9f7c-dfbfcf20bbb6</t>
  </si>
  <si>
    <t>Tara Stone</t>
  </si>
  <si>
    <t>8b703387-cc39-418f-80af-4d09f5c72680</t>
  </si>
  <si>
    <t>Patricia Gillespie</t>
  </si>
  <si>
    <t>79539381-b904-4f31-996d-df3f6f531000</t>
  </si>
  <si>
    <t>Anthony Clarke</t>
  </si>
  <si>
    <t>9d1e081f-0b06-41e9-9d23-4e4afde04db4</t>
  </si>
  <si>
    <t>Tracy Richard</t>
  </si>
  <si>
    <t>9e836714-43a6-444d-98b0-ad823209c5c8</t>
  </si>
  <si>
    <t>Juan Sullivan</t>
  </si>
  <si>
    <t>059ec945-a03b-4a7c-9782-0b7be4e8de13</t>
  </si>
  <si>
    <t>Brandon Munoz</t>
  </si>
  <si>
    <t>ab17310c-a7ae-4a36-8ff4-9a2722bfaec7</t>
  </si>
  <si>
    <t>Cynthia Dodson</t>
  </si>
  <si>
    <t>056f41bb-7dc8-4040-9cc0-288b757dd144</t>
  </si>
  <si>
    <t>Angela Daniels</t>
  </si>
  <si>
    <t>af4ed721-ad7f-419f-871e-e8306c852369</t>
  </si>
  <si>
    <t>Dr. James Cooke MD</t>
  </si>
  <si>
    <t>faa23dcf-ab41-4e86-b27b-108495049b21</t>
  </si>
  <si>
    <t>Jose Weaver</t>
  </si>
  <si>
    <t>e808f965-b336-422a-8e2f-a035ba3e595a</t>
  </si>
  <si>
    <t>Frederick Fisher</t>
  </si>
  <si>
    <t>62e543d9-0d1c-43b5-a509-aef33700e9f6</t>
  </si>
  <si>
    <t>Carla Irwin</t>
  </si>
  <si>
    <t>5c1f170f-f7e8-4ecd-b862-79e5688df66a</t>
  </si>
  <si>
    <t>Cole Kidd</t>
  </si>
  <si>
    <t>f38767ae-2c7c-4bcd-938b-8c47621ea7e2</t>
  </si>
  <si>
    <t>Angela Hicks</t>
  </si>
  <si>
    <t>02105448-a179-422b-b6a5-159b5fec3f09</t>
  </si>
  <si>
    <t>Holly Page MD</t>
  </si>
  <si>
    <t>b955b469-a12a-4c3d-a2d1-faa017324af4</t>
  </si>
  <si>
    <t>Joshua Sutton</t>
  </si>
  <si>
    <t>ff7e43f8-c1ce-482a-86eb-6fdd65d34c43</t>
  </si>
  <si>
    <t>Jill James</t>
  </si>
  <si>
    <t>32d993e5-3498-478f-9d00-72d4d4dc210e</t>
  </si>
  <si>
    <t>James James</t>
  </si>
  <si>
    <t>ef49febb-661f-438f-94d2-f34152e32a7e</t>
  </si>
  <si>
    <t>Laura Brown</t>
  </si>
  <si>
    <t>5819cbc9-e002-4f60-89ab-d5ac05406417</t>
  </si>
  <si>
    <t>Douglas Snyder</t>
  </si>
  <si>
    <t>c7129cd2-80e3-4041-ab67-48f285d21fe4</t>
  </si>
  <si>
    <t>Patricia Ramirez</t>
  </si>
  <si>
    <t>1995fa8e-2fce-46f5-b74e-5ae4c74b0792</t>
  </si>
  <si>
    <t>Austin Martinez</t>
  </si>
  <si>
    <t>390d9723-e882-4ad0-8701-6d6b656553e0</t>
  </si>
  <si>
    <t>Kimberly Padilla</t>
  </si>
  <si>
    <t>7746e89f-4792-4920-bdb0-8404473f406b</t>
  </si>
  <si>
    <t>Sonya Mann</t>
  </si>
  <si>
    <t>6be55bf7-7017-46b5-bec4-55dea0eb4427</t>
  </si>
  <si>
    <t>Stephanie Hernandez</t>
  </si>
  <si>
    <t>6d6a82d4-699d-4374-9bcd-957e03573a66</t>
  </si>
  <si>
    <t>Amy Valenzuela</t>
  </si>
  <si>
    <t>35a0e4b4-1e38-44fa-8a22-63c4945f565e</t>
  </si>
  <si>
    <t>Bryan Berg</t>
  </si>
  <si>
    <t>56c45ff8-41e1-4c43-bf21-a7e9ed2b9fe4</t>
  </si>
  <si>
    <t>Lynn Mora</t>
  </si>
  <si>
    <t>ffef2cf9-803a-46d2-aac4-1a0537b5a521</t>
  </si>
  <si>
    <t>Cassandra Evans</t>
  </si>
  <si>
    <t>49a51c79-3b02-42c7-9607-abdf67a21aae</t>
  </si>
  <si>
    <t>Richard Gross</t>
  </si>
  <si>
    <t>196ebaec-7b52-419e-8ea7-5fc3ebd97b38</t>
  </si>
  <si>
    <t>Austin Keller</t>
  </si>
  <si>
    <t>d1e4068e-a7e3-40e1-9030-f603e2972634</t>
  </si>
  <si>
    <t>Jeremy Myers</t>
  </si>
  <si>
    <t>15e98ca6-b401-4cf4-8982-ee89ef3d1918</t>
  </si>
  <si>
    <t>Courtney Wade</t>
  </si>
  <si>
    <t>80c96475-aea4-4d5c-b527-bac87d084159</t>
  </si>
  <si>
    <t>Brian Smith</t>
  </si>
  <si>
    <t>414aeb3b-fcbd-4754-aef9-19ce04115521</t>
  </si>
  <si>
    <t>Randall Goodwin</t>
  </si>
  <si>
    <t>5bf6172c-cef1-48ba-ad43-a9159cf70c34</t>
  </si>
  <si>
    <t>Patrick Hughes</t>
  </si>
  <si>
    <t>885286b8-74f8-492b-a54d-7127ae9b897e</t>
  </si>
  <si>
    <t>Christine Yates</t>
  </si>
  <si>
    <t>8790da9d-1f4d-4a48-b69d-5bd51416a50a</t>
  </si>
  <si>
    <t>Miranda Cook</t>
  </si>
  <si>
    <t>cea05a50-b679-4598-a33f-4c68342de082</t>
  </si>
  <si>
    <t>Diane Lopez</t>
  </si>
  <si>
    <t>ee55d0a4-ca98-4b58-a56d-fd733e04c9b7</t>
  </si>
  <si>
    <t>Janet Allen</t>
  </si>
  <si>
    <t>86f55ff5-b362-425e-a766-0ff56f67223f</t>
  </si>
  <si>
    <t>Isaac Nixon</t>
  </si>
  <si>
    <t>a5d0d27f-6b7e-42b2-b190-f58d74a7a8d4</t>
  </si>
  <si>
    <t>Lisa Herrera</t>
  </si>
  <si>
    <t>e2abb6f5-4a0e-426f-ad85-96d46f1a8611</t>
  </si>
  <si>
    <t>Ashley Clark</t>
  </si>
  <si>
    <t>e0b47738-248a-47c2-883e-f345f4dae833</t>
  </si>
  <si>
    <t>George Jackson</t>
  </si>
  <si>
    <t>d9ad56ed-fdad-4103-96b2-0a20bf9be0bf</t>
  </si>
  <si>
    <t>John Mckee</t>
  </si>
  <si>
    <t>778e4c4f-667e-4180-8923-854b8bf176b0</t>
  </si>
  <si>
    <t>Jessica Mathews</t>
  </si>
  <si>
    <t>9f6d5548-3a8d-42ee-9d78-77042bf8cd9b</t>
  </si>
  <si>
    <t>Brandy Fernandez</t>
  </si>
  <si>
    <t>87d9eab3-529b-4ca5-948b-73a17ca98d84</t>
  </si>
  <si>
    <t>Curtis Rios</t>
  </si>
  <si>
    <t>23c82cfa-467a-40c9-8c4d-cd52d8a0b84a</t>
  </si>
  <si>
    <t>Jeffrey Gay</t>
  </si>
  <si>
    <t>be7add5a-9d80-4f05-984e-87c606a600b2</t>
  </si>
  <si>
    <t>Tammy Miller</t>
  </si>
  <si>
    <t>009f6d01-4f45-4781-b47f-425bb3404070</t>
  </si>
  <si>
    <t>Gary Rodriguez</t>
  </si>
  <si>
    <t>bfc51f95-20ae-478f-8b76-4d7b02eb0efb</t>
  </si>
  <si>
    <t>Eric Porter</t>
  </si>
  <si>
    <t>17faae66-624c-4719-b653-04df2bd0d305</t>
  </si>
  <si>
    <t>Tiffany Miller MD</t>
  </si>
  <si>
    <t>3a2b4c83-ba11-45b3-8e6c-6f4c72b1f309</t>
  </si>
  <si>
    <t>David Yoder</t>
  </si>
  <si>
    <t>984bb24a-d45f-4191-929d-6601f9d8464b</t>
  </si>
  <si>
    <t>Linda Ortiz</t>
  </si>
  <si>
    <t>cdd6101f-3a43-4b4c-a268-65fc45df286f</t>
  </si>
  <si>
    <t>Amber Hartman</t>
  </si>
  <si>
    <t>2b257908-c856-49c8-9d38-c2d79f2ff8b6</t>
  </si>
  <si>
    <t>Samantha Smith</t>
  </si>
  <si>
    <t>98d2240d-c2aa-4c1a-ab00-cbd4541b7e6d</t>
  </si>
  <si>
    <t>Benjamin Cabrera</t>
  </si>
  <si>
    <t>6065cf4e-601e-4ebd-8892-8ac9e3ff0acb</t>
  </si>
  <si>
    <t>Victoria Branch</t>
  </si>
  <si>
    <t>7603f12f-148b-4e2d-9aec-c87b69b07c9e</t>
  </si>
  <si>
    <t>Calvin Miller</t>
  </si>
  <si>
    <t>b2ddb300-93fa-4136-995d-52a52fd7503f</t>
  </si>
  <si>
    <t>Adam Butler</t>
  </si>
  <si>
    <t>da45184e-405f-4ecd-901a-2fe3c7ace1ba</t>
  </si>
  <si>
    <t>Gary Montes</t>
  </si>
  <si>
    <t>820b5851-2020-49bc-aaf1-9078bb2fb424</t>
  </si>
  <si>
    <t>Jeremy Fitzgerald</t>
  </si>
  <si>
    <t>1bdef514-bbf6-434c-a922-be80a803a95e</t>
  </si>
  <si>
    <t>Kathryn Levy</t>
  </si>
  <si>
    <t>1cfbe6be-8d31-4dc9-a74e-201164657435</t>
  </si>
  <si>
    <t>Debra Owen</t>
  </si>
  <si>
    <t>831643a9-8222-449d-8b69-09ec0f7b6f04</t>
  </si>
  <si>
    <t>Kristin Woods</t>
  </si>
  <si>
    <t>104aac2a-2c4d-45eb-ad36-20070adc975b</t>
  </si>
  <si>
    <t>Suzanne Woodward</t>
  </si>
  <si>
    <t>454aee04-6371-4e0c-aaf7-5d68a589f283</t>
  </si>
  <si>
    <t>Lawrence Lee</t>
  </si>
  <si>
    <t>d5a3d86a-f40a-4713-b6ad-b54c9414b2ba</t>
  </si>
  <si>
    <t>Dr. Kathy Lee</t>
  </si>
  <si>
    <t>d98c079e-e640-429d-903b-ba27b689c0d2</t>
  </si>
  <si>
    <t>Hayden Valdez</t>
  </si>
  <si>
    <t>5b30033a-69bf-491a-be47-2be038aa0016</t>
  </si>
  <si>
    <t>Jeremiah Bond</t>
  </si>
  <si>
    <t>cd6efd04-9cac-4973-b67f-c8a65928b834</t>
  </si>
  <si>
    <t>Adam Miller</t>
  </si>
  <si>
    <t>a03b3365-71ef-43d9-b3a8-ea91ef9a872e</t>
  </si>
  <si>
    <t>Amy Tucker</t>
  </si>
  <si>
    <t>fa4022a6-94f6-458d-9959-2d32a986d546</t>
  </si>
  <si>
    <t>Katie Harris</t>
  </si>
  <si>
    <t>710d39eb-647b-4600-978f-2dc9a8de9d9b</t>
  </si>
  <si>
    <t>Anita White</t>
  </si>
  <si>
    <t>83d947a7-7e5f-45e3-b0b3-31b81ca5cf74</t>
  </si>
  <si>
    <t>Thomas Pham</t>
  </si>
  <si>
    <t>fdf0446d-9642-4367-a058-e511a6b61c92</t>
  </si>
  <si>
    <t>Bianca Murphy</t>
  </si>
  <si>
    <t>3bb80b17-5bc9-4080-a0ed-61d33a670504</t>
  </si>
  <si>
    <t>Hannah Clark</t>
  </si>
  <si>
    <t>9904c1d1-0584-4798-8a28-67f255fdea56</t>
  </si>
  <si>
    <t>Mallory Ortega</t>
  </si>
  <si>
    <t>d1ea4bfa-3f1e-45f4-938a-f96004f9820d</t>
  </si>
  <si>
    <t>Robert Webster</t>
  </si>
  <si>
    <t>5f8e836c-d8f6-495f-8f91-cf5cb9b69df4</t>
  </si>
  <si>
    <t>Justin West</t>
  </si>
  <si>
    <t>987c6b20-f9af-4493-8393-8f42a46ace01</t>
  </si>
  <si>
    <t>Robert Martinez</t>
  </si>
  <si>
    <t>4f45acfd-6ead-4291-aa88-97996abea528</t>
  </si>
  <si>
    <t>Matthew Jones</t>
  </si>
  <si>
    <t>c72556ec-0ad1-4f4f-9a91-349a2af7b6f7</t>
  </si>
  <si>
    <t>Karen Luna</t>
  </si>
  <si>
    <t>3279359e-a524-4f74-a19c-ba8c245cdce7</t>
  </si>
  <si>
    <t>Deborah Mccullough</t>
  </si>
  <si>
    <t>677d964b-597f-416e-89ea-a228e79fde6f</t>
  </si>
  <si>
    <t>Jonathan Tanner</t>
  </si>
  <si>
    <t>169d4d0c-701b-42db-92e9-5a080a14f5e6</t>
  </si>
  <si>
    <t>Sheila Spencer</t>
  </si>
  <si>
    <t>ee509e81-b5ea-4bb2-a998-039c1f272653</t>
  </si>
  <si>
    <t>James Jackson</t>
  </si>
  <si>
    <t>76e317c6-89f8-44ef-b505-8be7897c0080</t>
  </si>
  <si>
    <t>Amber Green</t>
  </si>
  <si>
    <t>5856fd29-c3c8-4552-8a21-6570476e2d37</t>
  </si>
  <si>
    <t>William Wood</t>
  </si>
  <si>
    <t>fda08aea-4192-406b-83c2-1c3813ce48bf</t>
  </si>
  <si>
    <t>Lauren White</t>
  </si>
  <si>
    <t>53187a3b-10ad-4c30-bae0-6f300e345db7</t>
  </si>
  <si>
    <t>Daniel Oconnor</t>
  </si>
  <si>
    <t>e0671519-df62-4212-a81c-3313ac3afe3f</t>
  </si>
  <si>
    <t>Kim Marshall</t>
  </si>
  <si>
    <t>809082fa-6b7d-435a-882b-470d44dd92f6</t>
  </si>
  <si>
    <t>Angela Robinson</t>
  </si>
  <si>
    <t>43a56c1a-91cf-40a1-a4d5-52fcd10f583f</t>
  </si>
  <si>
    <t>Autumn Anthony</t>
  </si>
  <si>
    <t>39bcfa3f-1a4e-4bd1-88d3-700e3c223655</t>
  </si>
  <si>
    <t>Luis Fleming</t>
  </si>
  <si>
    <t>84126fb0-39fc-46d7-85c9-d8e87dab17a8</t>
  </si>
  <si>
    <t>c0aa0a36-af27-4b85-8806-7f7e24ab91dc</t>
  </si>
  <si>
    <t>Melanie Nguyen</t>
  </si>
  <si>
    <t>d40f0d4b-8b57-4a15-976b-ae07581091eb</t>
  </si>
  <si>
    <t>Willie Johnson</t>
  </si>
  <si>
    <t>7ca6a298-a3a0-4d94-8c83-0040c60e3b12</t>
  </si>
  <si>
    <t>Donald Smith</t>
  </si>
  <si>
    <t>b6c364e2-bc28-4c6f-8632-a952a8d2d2a9</t>
  </si>
  <si>
    <t>Angela Reese</t>
  </si>
  <si>
    <t>e835c9ff-cde3-431c-92f9-df0ed2486496</t>
  </si>
  <si>
    <t>Jessica Little</t>
  </si>
  <si>
    <t>bd625b5f-ffc3-4b67-b542-0039c355fceb</t>
  </si>
  <si>
    <t>Alexander Meyers</t>
  </si>
  <si>
    <t>32095874-7cd6-4453-8558-87db2254b423</t>
  </si>
  <si>
    <t>Brandon Morris</t>
  </si>
  <si>
    <t>a6d05074-a8f9-45ba-affb-040879b37415</t>
  </si>
  <si>
    <t>Charles Anderson</t>
  </si>
  <si>
    <t>57bdde2d-4ca3-4ce1-85cc-bd5acb0b8a4f</t>
  </si>
  <si>
    <t>Alexander Savage</t>
  </si>
  <si>
    <t>3c5f5ea9-ff06-418c-8665-bed46db50540</t>
  </si>
  <si>
    <t>Ashley Allen</t>
  </si>
  <si>
    <t>043ccd14-307f-401e-bfde-b49dfc94f2ff</t>
  </si>
  <si>
    <t>Lindsay Jennings</t>
  </si>
  <si>
    <t>dca71653-5630-43f3-a88c-51e622f52222</t>
  </si>
  <si>
    <t>Tina Cruz</t>
  </si>
  <si>
    <t>c2f52a3f-97d8-45de-9317-30543a5fab93</t>
  </si>
  <si>
    <t>Cindy Nicholson</t>
  </si>
  <si>
    <t>1a5c98f9-6825-4f00-9dc9-dff6311706b5</t>
  </si>
  <si>
    <t>William Huffman</t>
  </si>
  <si>
    <t>4d75791b-e6e2-4ad6-b1b6-deb0ceb444ff</t>
  </si>
  <si>
    <t>Daniel Ortiz</t>
  </si>
  <si>
    <t>429a8bb1-97a5-4186-8ba7-dc43d9680599</t>
  </si>
  <si>
    <t>Margaret James</t>
  </si>
  <si>
    <t>f4460955-86a8-45e2-89fe-3bad71feb27b</t>
  </si>
  <si>
    <t>Matthew Costa</t>
  </si>
  <si>
    <t>fa89e1da-ec76-4f2f-91f9-c37fc30975a2</t>
  </si>
  <si>
    <t>Brian Carroll</t>
  </si>
  <si>
    <t>46c95baa-5461-4a37-af60-538138e6c549</t>
  </si>
  <si>
    <t>Elizabeth Jones</t>
  </si>
  <si>
    <t>b55f7d43-71bb-43fe-85e7-b4f2289e000f</t>
  </si>
  <si>
    <t>Sarah York</t>
  </si>
  <si>
    <t>e29bed4d-8dd4-4cd6-96ac-1d8f9c93f995</t>
  </si>
  <si>
    <t>William Huynh</t>
  </si>
  <si>
    <t>ef8e9a74-5e37-4fc7-ae5e-91e38b029e46</t>
  </si>
  <si>
    <t>Amber Yoder</t>
  </si>
  <si>
    <t>5596456c-ad3b-44e2-96c7-2293d006826e</t>
  </si>
  <si>
    <t>Hannah Ward</t>
  </si>
  <si>
    <t>68e1c062-a2ab-4e84-82fb-0c6a26225ad2</t>
  </si>
  <si>
    <t>Adrian Diaz</t>
  </si>
  <si>
    <t>b8aa7515-d7b3-4814-bb2b-e784eec9ecd6</t>
  </si>
  <si>
    <t>Teresa Gillespie</t>
  </si>
  <si>
    <t>8fde89c3-be77-47f6-9363-ccd18af759ea</t>
  </si>
  <si>
    <t>Connor Garrison</t>
  </si>
  <si>
    <t>431b9015-ca31-484a-ae5c-59685f14207e</t>
  </si>
  <si>
    <t>Daniel Nixon</t>
  </si>
  <si>
    <t>c6a48b9d-9482-4855-a050-3c42cf8fa68e</t>
  </si>
  <si>
    <t>Eddie Cantrell</t>
  </si>
  <si>
    <t>e61d75e4-9ffe-4dcf-a9ad-dcda951f904a</t>
  </si>
  <si>
    <t>Thomas Gibson</t>
  </si>
  <si>
    <t>60af0386-7005-476b-9f66-a3dca59bf49c</t>
  </si>
  <si>
    <t>Lori Boyle</t>
  </si>
  <si>
    <t>fcb725e7-42b5-4496-a13a-2a6ff2d797bf</t>
  </si>
  <si>
    <t>Crystal Chang</t>
  </si>
  <si>
    <t>23722189-09b7-486f-b9ae-689f850f0cbd</t>
  </si>
  <si>
    <t>Frank Flores</t>
  </si>
  <si>
    <t>0a20148b-94dc-439c-bb4b-da2fd1fee565</t>
  </si>
  <si>
    <t>Craig Martinez</t>
  </si>
  <si>
    <t>1f110a91-036a-4cd5-8986-282513909559</t>
  </si>
  <si>
    <t>Mr. Lucas Thompson</t>
  </si>
  <si>
    <t>50cbc8e5-eddf-41a0-8ef2-454ed639b41f</t>
  </si>
  <si>
    <t>Justin Jones</t>
  </si>
  <si>
    <t>e189a4c0-d01b-43aa-87a8-e4ce5600774b</t>
  </si>
  <si>
    <t>Michelle Jones</t>
  </si>
  <si>
    <t>ee3d8c36-8ba8-40a9-8595-1a3e2e0b70a2</t>
  </si>
  <si>
    <t>David Brewer</t>
  </si>
  <si>
    <t>9b09151e-00c8-437d-a4d1-852c8a396dc1</t>
  </si>
  <si>
    <t>Laura Webb</t>
  </si>
  <si>
    <t>22011900-98e9-430b-a7a1-54e4dcc063c8</t>
  </si>
  <si>
    <t>Mrs. Lisa Cortez MD</t>
  </si>
  <si>
    <t>1927b4fd-02d2-47f8-9d68-c8910ebd57b8</t>
  </si>
  <si>
    <t>Matthew Byrd</t>
  </si>
  <si>
    <t>c06dc03b-1e20-47a4-91e5-f9fcfcdfd53f</t>
  </si>
  <si>
    <t>Victor Shah</t>
  </si>
  <si>
    <t>e089a96b-b8be-4376-b347-b0f623aa550a</t>
  </si>
  <si>
    <t>Brent Ball</t>
  </si>
  <si>
    <t>cb6f0165-3b8b-4b67-a241-980d2e5c221c</t>
  </si>
  <si>
    <t>Erin Thompson</t>
  </si>
  <si>
    <t>ea4b69be-96f0-4239-b97f-a88132c0e985</t>
  </si>
  <si>
    <t>David Potter</t>
  </si>
  <si>
    <t>6884b81d-fd33-4e3b-96f9-3b5fa6c6286e</t>
  </si>
  <si>
    <t>Shane Ramirez</t>
  </si>
  <si>
    <t>77ab4208-f188-4c16-9803-f3df32545dcb</t>
  </si>
  <si>
    <t>Richard Martin</t>
  </si>
  <si>
    <t>2b2005fe-0924-4a95-8d1c-038420d17295</t>
  </si>
  <si>
    <t>Donna Roberts</t>
  </si>
  <si>
    <t>03408fec-acf8-40a2-bce9-be7e1c1b7d14</t>
  </si>
  <si>
    <t>Denise Harris</t>
  </si>
  <si>
    <t>b7c92f08-c29d-40a9-8947-20a7eb6a2316</t>
  </si>
  <si>
    <t>Lisa Cox</t>
  </si>
  <si>
    <t>5e995cd5-6518-4888-86f0-91148af5b9e0</t>
  </si>
  <si>
    <t>Sandra Stephenson</t>
  </si>
  <si>
    <t>1f82614c-9863-4de1-8d92-6ce4f5be499e</t>
  </si>
  <si>
    <t>Hannah Chen</t>
  </si>
  <si>
    <t>a9995a9e-79fb-4c20-999e-b3a53608490d</t>
  </si>
  <si>
    <t>Jessica Fields</t>
  </si>
  <si>
    <t>7130af7c-72fc-405b-aab7-0aae59c17d2e</t>
  </si>
  <si>
    <t>Paul Morgan</t>
  </si>
  <si>
    <t>a32f01e4-34bf-42c9-b04a-d95b0890b004</t>
  </si>
  <si>
    <t>Justin Garcia</t>
  </si>
  <si>
    <t>11ab5620-09ba-4dc0-acc5-a6c0822829a6</t>
  </si>
  <si>
    <t>Alyssa Richards</t>
  </si>
  <si>
    <t>f1fe5d74-fa11-4b8c-a026-6e8eba4ae3a0</t>
  </si>
  <si>
    <t>Craig Ali</t>
  </si>
  <si>
    <t>af95d911-93a0-42fa-9cea-f70855944566</t>
  </si>
  <si>
    <t>Bryan Moore</t>
  </si>
  <si>
    <t>cc599a24-3fbc-468a-9fdd-41054f4b6ca3</t>
  </si>
  <si>
    <t>William Turner</t>
  </si>
  <si>
    <t>41ea8d77-ac45-4ddb-ab70-89880c0f919c</t>
  </si>
  <si>
    <t>Teresa Thompson</t>
  </si>
  <si>
    <t>d2fd5128-f1b6-4327-a51a-2615fa7c8318</t>
  </si>
  <si>
    <t>Brandon Ingram</t>
  </si>
  <si>
    <t>8668cfae-da01-453c-a260-a61e45657587</t>
  </si>
  <si>
    <t>Richard Dean</t>
  </si>
  <si>
    <t>8f830299-6632-464b-940c-2d879f62173c</t>
  </si>
  <si>
    <t>Charles Hill</t>
  </si>
  <si>
    <t>775c045b-084f-4883-9ece-0562323a223c</t>
  </si>
  <si>
    <t>Michelle Logan</t>
  </si>
  <si>
    <t>58883641-44c5-463a-a211-9b2e516cffd5</t>
  </si>
  <si>
    <t>Molly Crosby</t>
  </si>
  <si>
    <t>844a4fe7-a2af-44af-a4ea-6c301180e84b</t>
  </si>
  <si>
    <t>Wendy Green</t>
  </si>
  <si>
    <t>7c223ab0-f184-4916-9b97-4a7cb6a0362a</t>
  </si>
  <si>
    <t>Sean English</t>
  </si>
  <si>
    <t>7eccf59d-48f9-4184-92f6-88ae020b8f72</t>
  </si>
  <si>
    <t>Stephanie Jones</t>
  </si>
  <si>
    <t>80021cd9-381c-4ba9-b556-bbf8d780d8c2</t>
  </si>
  <si>
    <t>Ashley Lee</t>
  </si>
  <si>
    <t>6b5fba63-2500-4622-920c-90e980d85ff6</t>
  </si>
  <si>
    <t>Jane Cochran</t>
  </si>
  <si>
    <t>d8fbc24a-5121-4f62-867d-09f5ccacc67a</t>
  </si>
  <si>
    <t xml:space="preserve">is blank </t>
  </si>
  <si>
    <t xml:space="preserve">revenue filled in </t>
  </si>
  <si>
    <t xml:space="preserve">revenue per unit </t>
  </si>
  <si>
    <t xml:space="preserve">order date </t>
  </si>
  <si>
    <t xml:space="preserve">Order Month </t>
  </si>
  <si>
    <t xml:space="preserve">Revenue per unit </t>
  </si>
  <si>
    <t>Grand Total</t>
  </si>
  <si>
    <t>Sum of Revenue</t>
  </si>
  <si>
    <t>Sum of Quantity</t>
  </si>
  <si>
    <t>Sum of Unit Price</t>
  </si>
  <si>
    <t>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</si>
</sst>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8" fillId="0" borderId="0" xfId="0" pivotButton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ill>
        <patternFill>
          <bgColor rgb="FFFFFF00"/>
        </patternFill>
      </fill>
    </dxf>
    <dxf>
      <font>
        <b/>
      </font>
      <alignment horizontal="center" vertical="center" textRotation="0" wrapText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font>
        <u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* #,##0.00_-;\-&quot;$&quot;* #,##0.00_-;_-&quot;$&quot;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haalSyyed_Lab2_Dataset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al Syed" refreshedDate="45922.564628935186" createdVersion="8" refreshedVersion="8" minRefreshableVersion="3" recordCount="1000" xr:uid="{BBD20B4C-B4F6-4015-A78F-3147A08A8A19}">
  <cacheSource type="worksheet">
    <worksheetSource ref="A1:K1001" sheet="NehaalSyyed_Lab2_Dataset" r:id="rId2"/>
  </cacheSource>
  <cacheFields count="11">
    <cacheField name="OrderID" numFmtId="0">
      <sharedItems/>
    </cacheField>
    <cacheField name="Customer Name" numFmtId="0">
      <sharedItems/>
    </cacheField>
    <cacheField name="Order Date" numFmtId="14">
      <sharedItems containsSemiMixedTypes="0" containsNonDate="0" containsDate="1" containsString="0" minDate="2023-05-04T00:00:00" maxDate="2025-05-03T00:00:00"/>
    </cacheField>
    <cacheField name="Region" numFmtId="0">
      <sharedItems count="5">
        <s v="North"/>
        <s v="EAST"/>
        <s v="south "/>
        <s v="west"/>
        <s v="South"/>
      </sharedItems>
    </cacheField>
    <cacheField name="Product" numFmtId="0">
      <sharedItems count="5">
        <s v="Gadget X"/>
        <s v="Gadget Y"/>
        <s v="Widget B"/>
        <s v="Widget A"/>
        <s v="Tool Z"/>
      </sharedItems>
    </cacheField>
    <cacheField name="Quantity" numFmtId="0">
      <sharedItems containsString="0" containsBlank="1" containsNumber="1" containsInteger="1" minValue="1" maxValue="9"/>
    </cacheField>
    <cacheField name="Unit Price" numFmtId="0">
      <sharedItems containsSemiMixedTypes="0" containsString="0" containsNumber="1" minValue="10.08" maxValue="199.87"/>
    </cacheField>
    <cacheField name="Revenue" numFmtId="0">
      <sharedItems containsString="0" containsBlank="1" containsNumber="1" minValue="15.55" maxValue="1798.74"/>
    </cacheField>
    <cacheField name="Status" numFmtId="0">
      <sharedItems/>
    </cacheField>
    <cacheField name="Order Month " numFmtId="0">
      <sharedItems/>
    </cacheField>
    <cacheField name="Revenue per unit " numFmtId="0">
      <sharedItems containsMixedTypes="1" containsNumber="1" minValue="12.38" maxValue="199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0f18311-568f-4c36-8304-7fa7c9008519"/>
    <s v="Barbara Miller"/>
    <d v="2024-04-04T00:00:00"/>
    <x v="0"/>
    <x v="0"/>
    <m/>
    <n v="144.32"/>
    <m/>
    <s v="completed "/>
    <s v="Apr"/>
    <s v=""/>
  </r>
  <r>
    <s v="6150695e-60bd-4c11-a22e-0c23c1716c7a"/>
    <s v="Rhonda Shaw"/>
    <d v="2025-04-04T00:00:00"/>
    <x v="0"/>
    <x v="1"/>
    <n v="4"/>
    <n v="101.13"/>
    <n v="404.52"/>
    <s v="In-Progress"/>
    <s v="Apr"/>
    <n v="101.13"/>
  </r>
  <r>
    <s v="492896c7-f842-4dd7-ac33-0219cad804a8"/>
    <s v="Linda Dixon"/>
    <d v="2024-12-14T00:00:00"/>
    <x v="1"/>
    <x v="1"/>
    <m/>
    <n v="95.12"/>
    <m/>
    <s v="in progress"/>
    <s v="Dec"/>
    <s v=""/>
  </r>
  <r>
    <s v="004d64ee-1177-4e9e-9049-d0152a5bb206"/>
    <s v="Margaret Koch"/>
    <d v="2024-04-06T00:00:00"/>
    <x v="1"/>
    <x v="2"/>
    <m/>
    <n v="46.21"/>
    <m/>
    <s v="completed "/>
    <s v="Apr"/>
    <s v=""/>
  </r>
  <r>
    <s v="4915e284-32e8-4e72-aa80-2ede9da6abb9"/>
    <s v="George Allen"/>
    <d v="2024-04-10T00:00:00"/>
    <x v="2"/>
    <x v="3"/>
    <n v="7"/>
    <n v="47.8"/>
    <n v="334.6"/>
    <s v="In-Progress"/>
    <s v="Apr"/>
    <n v="47.800000000000004"/>
  </r>
  <r>
    <s v="52e921cd-fb9b-4bc6-93d1-2a19a4dee107"/>
    <s v="David Ramirez"/>
    <d v="2025-01-24T00:00:00"/>
    <x v="0"/>
    <x v="2"/>
    <m/>
    <n v="100.84"/>
    <m/>
    <s v="CANCELLED"/>
    <s v="Jan"/>
    <s v=""/>
  </r>
  <r>
    <s v="8cbdbba2-ffbb-4c8a-8161-ccbb398354f8"/>
    <s v="Heather Tran"/>
    <d v="2023-05-04T00:00:00"/>
    <x v="0"/>
    <x v="1"/>
    <m/>
    <n v="16.34"/>
    <m/>
    <s v="CANCELLED"/>
    <s v="May"/>
    <s v=""/>
  </r>
  <r>
    <s v="e85e3bc1-0df9-4300-93ed-a3846b99aaa2"/>
    <s v="Shannon Stephens"/>
    <d v="2024-08-06T00:00:00"/>
    <x v="3"/>
    <x v="1"/>
    <n v="8"/>
    <n v="34.15"/>
    <n v="273.2"/>
    <s v="Completed"/>
    <s v="Aug"/>
    <n v="34.15"/>
  </r>
  <r>
    <s v="0c964db4-6eb5-4787-a0ea-6aa549c923ce"/>
    <s v="Haley Ferguson"/>
    <d v="2024-05-26T00:00:00"/>
    <x v="1"/>
    <x v="2"/>
    <n v="5"/>
    <n v="198.87"/>
    <n v="994.35"/>
    <s v="Completed"/>
    <s v="May"/>
    <n v="198.87"/>
  </r>
  <r>
    <s v="9abf3c76-c1b8-4f32-9201-1147c21a5724"/>
    <s v="Joseph Mitchell"/>
    <d v="2023-09-07T00:00:00"/>
    <x v="3"/>
    <x v="2"/>
    <m/>
    <n v="154.33000000000001"/>
    <m/>
    <s v="Completed"/>
    <s v="Sep"/>
    <s v=""/>
  </r>
  <r>
    <s v="6be216b8-fa6c-4d5a-a01f-f1fba5bf41f3"/>
    <s v="Steven Mcintosh"/>
    <d v="2023-12-03T00:00:00"/>
    <x v="1"/>
    <x v="3"/>
    <n v="8"/>
    <n v="151.66"/>
    <n v="1213.28"/>
    <s v="in progress"/>
    <s v="Dec"/>
    <n v="151.66"/>
  </r>
  <r>
    <s v="48b0f939-d154-47ce-8964-deb489df3569"/>
    <s v="Charles Martin"/>
    <d v="2024-10-03T00:00:00"/>
    <x v="2"/>
    <x v="4"/>
    <m/>
    <n v="12.19"/>
    <m/>
    <s v="CANCELLED"/>
    <s v="Oct"/>
    <s v=""/>
  </r>
  <r>
    <s v="41990db7-ff55-422a-a54f-c8d95aaad418"/>
    <s v="Hannah Salinas"/>
    <d v="2023-11-02T00:00:00"/>
    <x v="2"/>
    <x v="0"/>
    <n v="3"/>
    <n v="125.56"/>
    <n v="376.68"/>
    <s v="completed "/>
    <s v="Nov"/>
    <n v="125.56"/>
  </r>
  <r>
    <s v="c37ba07d-6519-4e10-8bc3-f5daadd98dac"/>
    <s v="George Taylor"/>
    <d v="2025-04-25T00:00:00"/>
    <x v="1"/>
    <x v="2"/>
    <m/>
    <n v="59.07"/>
    <m/>
    <s v="Cancelled "/>
    <s v="Apr"/>
    <s v=""/>
  </r>
  <r>
    <s v="9b9b21fe-ba7d-490f-a624-2b6a7045302c"/>
    <s v="Nathaniel Mason"/>
    <d v="2023-10-21T00:00:00"/>
    <x v="3"/>
    <x v="1"/>
    <m/>
    <n v="105.73"/>
    <m/>
    <s v="CANCELLED"/>
    <s v="Oct"/>
    <s v=""/>
  </r>
  <r>
    <s v="b3983120-53fd-47de-b817-b02d3a06c446"/>
    <s v="Patrick Nichols"/>
    <d v="2024-04-27T00:00:00"/>
    <x v="1"/>
    <x v="3"/>
    <m/>
    <n v="13.24"/>
    <m/>
    <s v="Cancelled "/>
    <s v="Apr"/>
    <s v=""/>
  </r>
  <r>
    <s v="eeac2a87-746d-4e45-afd6-1098e6c5534b"/>
    <s v="Taylor West MD"/>
    <d v="2024-08-16T00:00:00"/>
    <x v="1"/>
    <x v="4"/>
    <n v="8"/>
    <n v="39.26"/>
    <n v="314.08"/>
    <s v="In-Progress"/>
    <s v="Aug"/>
    <n v="39.26"/>
  </r>
  <r>
    <s v="c88dc4ac-f3af-4626-8b3b-2a1f52bf1b3b"/>
    <s v="Andrea Roberts"/>
    <d v="2024-04-23T00:00:00"/>
    <x v="2"/>
    <x v="0"/>
    <m/>
    <n v="51.82"/>
    <m/>
    <s v="completed "/>
    <s v="Apr"/>
    <s v=""/>
  </r>
  <r>
    <s v="7e35781d-8376-443c-9d5b-2fa2b4034c5f"/>
    <s v="Nicholas Jones"/>
    <d v="2023-07-19T00:00:00"/>
    <x v="0"/>
    <x v="4"/>
    <m/>
    <n v="72.75"/>
    <m/>
    <s v="Cancelled "/>
    <s v="Jul"/>
    <s v=""/>
  </r>
  <r>
    <s v="2073630b-42f7-4ab0-a44f-7370c42134c1"/>
    <s v="Eric Madden"/>
    <d v="2023-05-25T00:00:00"/>
    <x v="0"/>
    <x v="0"/>
    <n v="5"/>
    <n v="79"/>
    <n v="395"/>
    <s v="Cancelled "/>
    <s v="May"/>
    <n v="79"/>
  </r>
  <r>
    <s v="c2cef863-1fdc-404e-80d5-c8474e6f5896"/>
    <s v="Brian Harris"/>
    <d v="2024-09-19T00:00:00"/>
    <x v="1"/>
    <x v="3"/>
    <m/>
    <n v="120.77"/>
    <m/>
    <s v="in progress"/>
    <s v="Sep"/>
    <s v=""/>
  </r>
  <r>
    <s v="68ab7800-03c8-4685-9e66-39939785f333"/>
    <s v="Blake Moreno"/>
    <d v="2024-11-21T00:00:00"/>
    <x v="4"/>
    <x v="4"/>
    <m/>
    <n v="176.96"/>
    <m/>
    <s v="in progress"/>
    <s v="Nov"/>
    <s v=""/>
  </r>
  <r>
    <s v="85f179fd-4b33-48e7-a7b5-efe10fca45ce"/>
    <s v="Dean Martinez"/>
    <d v="2023-09-18T00:00:00"/>
    <x v="2"/>
    <x v="0"/>
    <n v="9"/>
    <n v="182.5"/>
    <n v="1642.5"/>
    <s v="CANCELLED"/>
    <s v="Sep"/>
    <n v="182.5"/>
  </r>
  <r>
    <s v="546e353c-7903-48fe-bba3-00673d542e9e"/>
    <s v="Tina Barrett"/>
    <d v="2024-11-13T00:00:00"/>
    <x v="1"/>
    <x v="1"/>
    <m/>
    <n v="156.29"/>
    <m/>
    <s v="CANCELLED"/>
    <s v="Nov"/>
    <s v=""/>
  </r>
  <r>
    <s v="c28931fd-5957-4134-930e-d68ba32e9820"/>
    <s v="Courtney Hodges"/>
    <d v="2023-07-30T00:00:00"/>
    <x v="0"/>
    <x v="3"/>
    <m/>
    <n v="96.43"/>
    <m/>
    <s v="CANCELLED"/>
    <s v="Jul"/>
    <s v=""/>
  </r>
  <r>
    <s v="8493cb61-b52c-4333-93bd-5a5b755d726a"/>
    <s v="Jessica Hayes"/>
    <d v="2024-03-18T00:00:00"/>
    <x v="4"/>
    <x v="2"/>
    <m/>
    <n v="156.07"/>
    <m/>
    <s v="Cancelled "/>
    <s v="Mar"/>
    <s v=""/>
  </r>
  <r>
    <s v="e4b7921e-59a7-435d-b560-74c42e48f6a7"/>
    <s v="Samantha Khan"/>
    <d v="2024-03-18T00:00:00"/>
    <x v="0"/>
    <x v="4"/>
    <n v="4"/>
    <n v="179.6"/>
    <m/>
    <s v="Completed"/>
    <s v="Mar"/>
    <s v=""/>
  </r>
  <r>
    <s v="c2723eb3-18d5-460f-93cc-2142c5188806"/>
    <s v="Kelly Thomas"/>
    <d v="2025-04-23T00:00:00"/>
    <x v="0"/>
    <x v="4"/>
    <m/>
    <n v="85.5"/>
    <m/>
    <s v="CANCELLED"/>
    <s v="Apr"/>
    <s v=""/>
  </r>
  <r>
    <s v="102613ae-de4e-4006-a7cc-bb77c8bc07a4"/>
    <s v="Regina Peterson"/>
    <d v="2023-11-15T00:00:00"/>
    <x v="3"/>
    <x v="0"/>
    <m/>
    <n v="124.55"/>
    <m/>
    <s v="In-Progress"/>
    <s v="Nov"/>
    <s v=""/>
  </r>
  <r>
    <s v="be2c6d46-eb3f-4ad5-bb1a-43aa3f31aa80"/>
    <s v="Grant Gonzalez"/>
    <d v="2023-10-18T00:00:00"/>
    <x v="4"/>
    <x v="1"/>
    <m/>
    <n v="21.17"/>
    <m/>
    <s v="completed "/>
    <s v="Oct"/>
    <s v=""/>
  </r>
  <r>
    <s v="b4b9fd43-b51c-439b-ae8f-c3375163abd2"/>
    <s v="Eric Miller"/>
    <d v="2023-12-23T00:00:00"/>
    <x v="0"/>
    <x v="1"/>
    <n v="3"/>
    <n v="39.6"/>
    <n v="118.8"/>
    <s v="Completed"/>
    <s v="Dec"/>
    <n v="39.6"/>
  </r>
  <r>
    <s v="ac4b3c56-418f-46c2-a9de-1a529615e530"/>
    <s v="Daniel Long"/>
    <d v="2024-04-11T00:00:00"/>
    <x v="2"/>
    <x v="1"/>
    <m/>
    <n v="15.02"/>
    <m/>
    <s v="Cancelled "/>
    <s v="Apr"/>
    <s v=""/>
  </r>
  <r>
    <s v="a96adfe5-63f3-4a7d-b398-bcdd7baed250"/>
    <s v="Michael Cummings"/>
    <d v="2024-10-16T00:00:00"/>
    <x v="4"/>
    <x v="3"/>
    <m/>
    <n v="195.14"/>
    <m/>
    <s v="Completed"/>
    <s v="Oct"/>
    <s v=""/>
  </r>
  <r>
    <s v="c1b9ba73-6e0b-4bbd-ac03-8cfe540e6c43"/>
    <s v="Teresa Underwood"/>
    <d v="2025-02-07T00:00:00"/>
    <x v="1"/>
    <x v="4"/>
    <n v="9"/>
    <n v="31.84"/>
    <n v="286.56"/>
    <s v="In-Progress"/>
    <s v="Feb"/>
    <n v="31.84"/>
  </r>
  <r>
    <s v="4fe8b68c-5612-4696-84f0-093c55b68c10"/>
    <s v="Joy Villa"/>
    <d v="2024-09-08T00:00:00"/>
    <x v="1"/>
    <x v="0"/>
    <m/>
    <n v="87.04"/>
    <m/>
    <s v="completed "/>
    <s v="Sep"/>
    <s v=""/>
  </r>
  <r>
    <s v="18e53d60-0d5b-4c4b-a78b-40fb30399563"/>
    <s v="Rachel Daniel"/>
    <d v="2023-12-01T00:00:00"/>
    <x v="2"/>
    <x v="4"/>
    <m/>
    <n v="116.37"/>
    <m/>
    <s v="CANCELLED"/>
    <s v="Dec"/>
    <s v=""/>
  </r>
  <r>
    <s v="bbdcd228-8b23-428c-a6a5-946cdaa05472"/>
    <s v="Kevin Johnson"/>
    <d v="2024-06-18T00:00:00"/>
    <x v="3"/>
    <x v="2"/>
    <n v="4"/>
    <n v="136.38"/>
    <n v="545.52"/>
    <s v="Completed"/>
    <s v="Jun"/>
    <n v="136.38"/>
  </r>
  <r>
    <s v="fc7a2504-e601-4956-92c0-d3b2bc0e7990"/>
    <s v="Dylan Forbes"/>
    <d v="2024-08-25T00:00:00"/>
    <x v="2"/>
    <x v="3"/>
    <m/>
    <n v="135.72"/>
    <m/>
    <s v="CANCELLED"/>
    <s v="Aug"/>
    <s v=""/>
  </r>
  <r>
    <s v="6596dcfd-b283-4f12-9025-1289c934b714"/>
    <s v="Anthony Wright"/>
    <d v="2023-10-25T00:00:00"/>
    <x v="3"/>
    <x v="1"/>
    <n v="2"/>
    <n v="138.76"/>
    <m/>
    <s v="Completed"/>
    <s v="Oct"/>
    <s v=""/>
  </r>
  <r>
    <s v="8a89af22-0a27-44b0-8819-d55c3c84b57e"/>
    <s v="Benjamin Anderson"/>
    <d v="2024-02-29T00:00:00"/>
    <x v="0"/>
    <x v="2"/>
    <m/>
    <n v="117.23"/>
    <m/>
    <s v="in progress"/>
    <s v="Feb"/>
    <s v=""/>
  </r>
  <r>
    <s v="9b90b0ae-7f18-4fde-8564-08be3e76183f"/>
    <s v="Elizabeth Holmes"/>
    <d v="2023-10-29T00:00:00"/>
    <x v="0"/>
    <x v="1"/>
    <m/>
    <n v="158.09"/>
    <m/>
    <s v="CANCELLED"/>
    <s v="Oct"/>
    <s v=""/>
  </r>
  <r>
    <s v="35300694-76eb-43ee-bdcb-7eafbd89603b"/>
    <s v="Jerome Kelley"/>
    <d v="2024-10-25T00:00:00"/>
    <x v="0"/>
    <x v="3"/>
    <n v="2"/>
    <n v="169.61"/>
    <n v="339.22"/>
    <s v="CANCELLED"/>
    <s v="Oct"/>
    <n v="169.61"/>
  </r>
  <r>
    <s v="476c10c7-a971-4dc0-8e9b-d664f68808cf"/>
    <s v="Holly Silva"/>
    <d v="2023-12-09T00:00:00"/>
    <x v="2"/>
    <x v="4"/>
    <m/>
    <n v="61.7"/>
    <m/>
    <s v="CANCELLED"/>
    <s v="Dec"/>
    <s v=""/>
  </r>
  <r>
    <s v="c858f846-3c5c-4df3-af9d-caf4aff452a7"/>
    <s v="Francisco Day"/>
    <d v="2023-09-08T00:00:00"/>
    <x v="0"/>
    <x v="1"/>
    <m/>
    <n v="64.040000000000006"/>
    <m/>
    <s v="completed "/>
    <s v="Sep"/>
    <s v=""/>
  </r>
  <r>
    <s v="6eed1a2e-8099-4646-8cf7-b12229c85d9b"/>
    <s v="Darrell King"/>
    <d v="2024-01-03T00:00:00"/>
    <x v="3"/>
    <x v="2"/>
    <n v="8"/>
    <n v="159.63"/>
    <n v="1277.04"/>
    <s v="Completed"/>
    <s v="Jan"/>
    <n v="159.63"/>
  </r>
  <r>
    <s v="885ccf6e-c491-4502-8fa6-e396645bd070"/>
    <s v="Amber Roberts"/>
    <d v="2024-12-17T00:00:00"/>
    <x v="4"/>
    <x v="2"/>
    <n v="3"/>
    <n v="116.98"/>
    <m/>
    <s v="Cancelled "/>
    <s v="Dec"/>
    <s v=""/>
  </r>
  <r>
    <s v="a57c1409-657b-476f-9722-6b456f3f065f"/>
    <s v="Chad Taylor"/>
    <d v="2024-06-14T00:00:00"/>
    <x v="2"/>
    <x v="4"/>
    <m/>
    <n v="68.58"/>
    <m/>
    <s v="CANCELLED"/>
    <s v="Jun"/>
    <s v=""/>
  </r>
  <r>
    <s v="68f0ee8c-e9ab-4a0c-bb17-024683de1a18"/>
    <s v="Megan Taylor"/>
    <d v="2025-03-02T00:00:00"/>
    <x v="4"/>
    <x v="4"/>
    <n v="4"/>
    <n v="183.96"/>
    <n v="735.84"/>
    <s v="Cancelled "/>
    <s v="Mar"/>
    <n v="183.96"/>
  </r>
  <r>
    <s v="9722965f-23a8-4340-bce7-4ff70a1b2263"/>
    <s v="Joshua Robinson"/>
    <d v="2023-12-10T00:00:00"/>
    <x v="4"/>
    <x v="2"/>
    <n v="2"/>
    <n v="79.959999999999994"/>
    <n v="159.91999999999999"/>
    <s v="in progress"/>
    <s v="Dec"/>
    <n v="79.959999999999994"/>
  </r>
  <r>
    <s v="3bdc0296-eb07-4034-ad74-7720a15a8925"/>
    <s v="Pamela Santos"/>
    <d v="2023-12-21T00:00:00"/>
    <x v="0"/>
    <x v="1"/>
    <n v="8"/>
    <n v="89"/>
    <n v="712"/>
    <s v="Cancelled "/>
    <s v="Dec"/>
    <n v="89"/>
  </r>
  <r>
    <s v="dd599942-a35e-4872-b67f-b8f4b193ab46"/>
    <s v="Robyn Lopez"/>
    <d v="2024-11-18T00:00:00"/>
    <x v="1"/>
    <x v="0"/>
    <n v="4"/>
    <n v="186.55"/>
    <n v="746.2"/>
    <s v="Cancelled "/>
    <s v="Nov"/>
    <n v="186.55"/>
  </r>
  <r>
    <s v="969e6000-01b9-4c84-89ef-f884cad1a453"/>
    <s v="Daniel Smith"/>
    <d v="2025-01-12T00:00:00"/>
    <x v="1"/>
    <x v="0"/>
    <m/>
    <n v="106.73"/>
    <m/>
    <s v="In-Progress"/>
    <s v="Jan"/>
    <s v=""/>
  </r>
  <r>
    <s v="86234fab-6f78-471b-a7d1-c79e5df9f1d5"/>
    <s v="Michael Simmons"/>
    <d v="2023-06-04T00:00:00"/>
    <x v="1"/>
    <x v="3"/>
    <m/>
    <n v="196.07"/>
    <m/>
    <s v="CANCELLED"/>
    <s v="Jun"/>
    <s v=""/>
  </r>
  <r>
    <s v="19c5f0f1-e22b-4a3c-9091-bcb9d5855ec4"/>
    <s v="Jessica Murillo"/>
    <d v="2023-08-05T00:00:00"/>
    <x v="0"/>
    <x v="1"/>
    <m/>
    <n v="106.44"/>
    <m/>
    <s v="Cancelled "/>
    <s v="Aug"/>
    <s v=""/>
  </r>
  <r>
    <s v="78446b9b-2b03-4297-82be-697dfd9f8d0f"/>
    <s v="Larry Nguyen"/>
    <d v="2025-02-02T00:00:00"/>
    <x v="1"/>
    <x v="4"/>
    <n v="4"/>
    <n v="69.989999999999995"/>
    <n v="279.95999999999998"/>
    <s v="Completed"/>
    <s v="Feb"/>
    <n v="69.989999999999995"/>
  </r>
  <r>
    <s v="be9cc3ce-990f-4ec0-b80c-87a1c80c73ab"/>
    <s v="Mark White"/>
    <d v="2023-09-28T00:00:00"/>
    <x v="0"/>
    <x v="2"/>
    <n v="6"/>
    <n v="152.11000000000001"/>
    <n v="912.66"/>
    <s v="Completed"/>
    <s v="Sep"/>
    <n v="152.10999999999999"/>
  </r>
  <r>
    <s v="fc000c8e-776a-40d7-8977-f3311f54d892"/>
    <s v="Stephanie Reed MD"/>
    <d v="2023-09-19T00:00:00"/>
    <x v="3"/>
    <x v="2"/>
    <n v="2"/>
    <n v="136.25"/>
    <n v="272.5"/>
    <s v="CANCELLED"/>
    <s v="Sep"/>
    <n v="136.25"/>
  </r>
  <r>
    <s v="e3ac4241-5c4e-4399-a716-f11ad2082e6f"/>
    <s v="Robert Cook"/>
    <d v="2023-09-06T00:00:00"/>
    <x v="0"/>
    <x v="3"/>
    <n v="2"/>
    <n v="187.49"/>
    <n v="374.98"/>
    <s v="in progress"/>
    <s v="Sep"/>
    <n v="187.49"/>
  </r>
  <r>
    <s v="7e70c22d-0b43-412e-ba5a-437a8336d832"/>
    <s v="Judith Reid DVM"/>
    <d v="2024-08-31T00:00:00"/>
    <x v="0"/>
    <x v="1"/>
    <m/>
    <n v="17.12"/>
    <m/>
    <s v="Completed"/>
    <s v="Aug"/>
    <s v=""/>
  </r>
  <r>
    <s v="d7cea8e1-9408-452a-a530-48f3442fc10b"/>
    <s v="Steve Soto"/>
    <d v="2023-10-01T00:00:00"/>
    <x v="2"/>
    <x v="3"/>
    <n v="8"/>
    <n v="62.07"/>
    <n v="496.56"/>
    <s v="Completed"/>
    <s v="Oct"/>
    <n v="62.07"/>
  </r>
  <r>
    <s v="9aab8b61-1dec-48f9-ab20-6a1d5539069a"/>
    <s v="Robert Bird"/>
    <d v="2024-01-15T00:00:00"/>
    <x v="1"/>
    <x v="3"/>
    <m/>
    <n v="113.09"/>
    <m/>
    <s v="completed "/>
    <s v="Jan"/>
    <s v=""/>
  </r>
  <r>
    <s v="9b5087ac-60a0-400a-bf93-8997ceabf2f8"/>
    <s v="Gary Martinez"/>
    <d v="2024-01-02T00:00:00"/>
    <x v="3"/>
    <x v="2"/>
    <n v="9"/>
    <n v="75.930000000000007"/>
    <n v="683.37"/>
    <s v="in progress"/>
    <s v="Jan"/>
    <n v="75.930000000000007"/>
  </r>
  <r>
    <s v="dc1c1b49-db4a-4bf0-bf43-0b6093142e09"/>
    <s v="Sean Castillo"/>
    <d v="2025-03-26T00:00:00"/>
    <x v="0"/>
    <x v="3"/>
    <m/>
    <n v="125.63"/>
    <m/>
    <s v="In-Progress"/>
    <s v="Mar"/>
    <s v=""/>
  </r>
  <r>
    <s v="9367a989-f22e-40ba-a93b-a356817e1220"/>
    <s v="Joseph Velazquez"/>
    <d v="2023-09-18T00:00:00"/>
    <x v="0"/>
    <x v="0"/>
    <n v="5"/>
    <n v="181.62"/>
    <m/>
    <s v="completed "/>
    <s v="Sep"/>
    <s v=""/>
  </r>
  <r>
    <s v="ace558df-97aa-4442-bb5a-46d0404ac562"/>
    <s v="Dwayne Santos"/>
    <d v="2024-04-17T00:00:00"/>
    <x v="3"/>
    <x v="4"/>
    <n v="2"/>
    <n v="168.59"/>
    <n v="337.18"/>
    <s v="In-Progress"/>
    <s v="Apr"/>
    <n v="168.59"/>
  </r>
  <r>
    <s v="d4aaf574-cc35-460e-b0cd-a1d21bb28400"/>
    <s v="Dr. Charles Stewart"/>
    <d v="2024-09-10T00:00:00"/>
    <x v="2"/>
    <x v="2"/>
    <n v="5"/>
    <n v="107.79"/>
    <n v="538.95000000000005"/>
    <s v="Completed"/>
    <s v="Sep"/>
    <n v="107.79"/>
  </r>
  <r>
    <s v="e8d3f633-d8bd-4fcb-90da-0b08c34c3b63"/>
    <s v="Roberta Jordan"/>
    <d v="2024-05-20T00:00:00"/>
    <x v="0"/>
    <x v="2"/>
    <n v="8"/>
    <n v="58.8"/>
    <n v="470.4"/>
    <s v="Completed"/>
    <s v="May"/>
    <n v="58.8"/>
  </r>
  <r>
    <s v="43f0bfba-7b74-4fa1-8e30-05db58a13c0d"/>
    <s v="Courtney Terry MD"/>
    <d v="2024-08-20T00:00:00"/>
    <x v="2"/>
    <x v="1"/>
    <m/>
    <n v="80.63"/>
    <m/>
    <s v="completed "/>
    <s v="Aug"/>
    <s v=""/>
  </r>
  <r>
    <s v="f91cd881-9d2f-4142-8e82-e1563af7fb8a"/>
    <s v="Maria Garcia"/>
    <d v="2023-06-13T00:00:00"/>
    <x v="2"/>
    <x v="1"/>
    <n v="9"/>
    <n v="61.33"/>
    <n v="551.97"/>
    <s v="In-Progress"/>
    <s v="Jun"/>
    <n v="61.330000000000005"/>
  </r>
  <r>
    <s v="0474b60b-deac-4e35-9b2d-d7e82d9baa0a"/>
    <s v="Karen Bennett"/>
    <d v="2023-08-08T00:00:00"/>
    <x v="0"/>
    <x v="2"/>
    <n v="1"/>
    <n v="196.31"/>
    <n v="196.31"/>
    <s v="completed "/>
    <s v="Aug"/>
    <n v="196.31"/>
  </r>
  <r>
    <s v="13b2b74a-f5b3-4d54-a3d2-7eebc1734381"/>
    <s v="Ashley Hughes"/>
    <d v="2023-08-03T00:00:00"/>
    <x v="0"/>
    <x v="2"/>
    <n v="9"/>
    <n v="76.02"/>
    <n v="684.18"/>
    <s v="In-Progress"/>
    <s v="Aug"/>
    <n v="76.02"/>
  </r>
  <r>
    <s v="7a8985bf-58b6-4665-ba17-412780c6b041"/>
    <s v="Gregory Carlson"/>
    <d v="2023-10-03T00:00:00"/>
    <x v="2"/>
    <x v="1"/>
    <m/>
    <n v="51.21"/>
    <m/>
    <s v="Cancelled "/>
    <s v="Oct"/>
    <s v=""/>
  </r>
  <r>
    <s v="a31c5cb2-b2d4-4cd6-bb83-f8f3f2b5fbd4"/>
    <s v="Deanna Garrison"/>
    <d v="2024-12-10T00:00:00"/>
    <x v="3"/>
    <x v="3"/>
    <n v="9"/>
    <n v="164.59"/>
    <n v="1481.31"/>
    <s v="CANCELLED"/>
    <s v="Dec"/>
    <n v="164.59"/>
  </r>
  <r>
    <s v="9d478157-81b4-412e-9845-b3163c8e5d39"/>
    <s v="Ashley Davis"/>
    <d v="2024-08-16T00:00:00"/>
    <x v="3"/>
    <x v="0"/>
    <m/>
    <n v="139.71"/>
    <m/>
    <s v="completed "/>
    <s v="Aug"/>
    <s v=""/>
  </r>
  <r>
    <s v="38617444-32b3-495c-baf5-ef872c175056"/>
    <s v="Omar Sanchez"/>
    <d v="2025-02-12T00:00:00"/>
    <x v="1"/>
    <x v="1"/>
    <m/>
    <n v="93.23"/>
    <m/>
    <s v="completed "/>
    <s v="Feb"/>
    <s v=""/>
  </r>
  <r>
    <s v="7dc817d0-c02a-4d97-9a56-3810fd6da3fb"/>
    <s v="Michael Aguilar"/>
    <d v="2024-12-30T00:00:00"/>
    <x v="3"/>
    <x v="2"/>
    <m/>
    <n v="26.96"/>
    <m/>
    <s v="CANCELLED"/>
    <s v="Dec"/>
    <s v=""/>
  </r>
  <r>
    <s v="b6876a29-ed9a-4ff1-9205-374fce0147cd"/>
    <s v="Angela Thompson"/>
    <d v="2023-07-10T00:00:00"/>
    <x v="3"/>
    <x v="3"/>
    <m/>
    <n v="81.73"/>
    <m/>
    <s v="CANCELLED"/>
    <s v="Jul"/>
    <s v=""/>
  </r>
  <r>
    <s v="a66563ef-3faa-4cbb-87d4-4cf884f171a0"/>
    <s v="Larry Thomas Jr."/>
    <d v="2024-04-15T00:00:00"/>
    <x v="4"/>
    <x v="4"/>
    <n v="3"/>
    <n v="187.17"/>
    <n v="561.51"/>
    <s v="in progress"/>
    <s v="Apr"/>
    <n v="187.17"/>
  </r>
  <r>
    <s v="e90c24ed-10ad-4270-a657-173fe386f6c9"/>
    <s v="Raymond Harrison"/>
    <d v="2023-06-11T00:00:00"/>
    <x v="4"/>
    <x v="4"/>
    <n v="1"/>
    <n v="53.68"/>
    <n v="53.68"/>
    <s v="in progress"/>
    <s v="Jun"/>
    <n v="53.68"/>
  </r>
  <r>
    <s v="ce4ba8d4-4078-4ada-956f-8ce740ba58dc"/>
    <s v="Kenneth Vega"/>
    <d v="2024-09-19T00:00:00"/>
    <x v="2"/>
    <x v="3"/>
    <m/>
    <n v="180.57"/>
    <m/>
    <s v="completed "/>
    <s v="Sep"/>
    <s v=""/>
  </r>
  <r>
    <s v="346ac967-90f6-4c72-83d2-ef872c848f7c"/>
    <s v="George Clark"/>
    <d v="2024-12-09T00:00:00"/>
    <x v="0"/>
    <x v="0"/>
    <m/>
    <n v="186.74"/>
    <m/>
    <s v="Cancelled "/>
    <s v="Dec"/>
    <s v=""/>
  </r>
  <r>
    <s v="0826446f-fbfe-49b5-b491-25d3e946778e"/>
    <s v="George Tucker"/>
    <d v="2024-01-02T00:00:00"/>
    <x v="2"/>
    <x v="1"/>
    <m/>
    <n v="27.49"/>
    <m/>
    <s v="CANCELLED"/>
    <s v="Jan"/>
    <s v=""/>
  </r>
  <r>
    <s v="a2e1b784-b582-449b-8b25-ddf90ced7345"/>
    <s v="Eric Wood"/>
    <d v="2024-10-25T00:00:00"/>
    <x v="2"/>
    <x v="4"/>
    <n v="1"/>
    <n v="186.56"/>
    <n v="186.56"/>
    <s v="Cancelled "/>
    <s v="Oct"/>
    <n v="186.56"/>
  </r>
  <r>
    <s v="efdbe47a-c817-413f-b7fb-03e07c75c46d"/>
    <s v="Charlene Martinez"/>
    <d v="2024-11-11T00:00:00"/>
    <x v="1"/>
    <x v="1"/>
    <m/>
    <n v="19.3"/>
    <m/>
    <s v="in progress"/>
    <s v="Nov"/>
    <s v=""/>
  </r>
  <r>
    <s v="8dc608be-e47e-44b4-b3c4-33ad9b5ec2e7"/>
    <s v="Justin Jenkins"/>
    <d v="2025-01-17T00:00:00"/>
    <x v="4"/>
    <x v="1"/>
    <m/>
    <n v="20.32"/>
    <m/>
    <s v="completed "/>
    <s v="Jan"/>
    <s v=""/>
  </r>
  <r>
    <s v="274e8716-f815-4471-aba1-6218ef44c7b5"/>
    <s v="Andrew Johnson"/>
    <d v="2024-06-20T00:00:00"/>
    <x v="0"/>
    <x v="1"/>
    <n v="9"/>
    <n v="59.2"/>
    <m/>
    <s v="in progress"/>
    <s v="Jun"/>
    <s v=""/>
  </r>
  <r>
    <s v="c2be768a-ed5f-46f0-a9b4-0076633096e5"/>
    <s v="Troy Hodge"/>
    <d v="2023-07-15T00:00:00"/>
    <x v="4"/>
    <x v="4"/>
    <m/>
    <n v="50.44"/>
    <m/>
    <s v="In-Progress"/>
    <s v="Jul"/>
    <s v=""/>
  </r>
  <r>
    <s v="67bd3fa1-3e32-46c9-84b7-ecdd0afb1487"/>
    <s v="Laura Hamilton"/>
    <d v="2023-05-15T00:00:00"/>
    <x v="3"/>
    <x v="0"/>
    <m/>
    <n v="133.88999999999999"/>
    <m/>
    <s v="in progress"/>
    <s v="May"/>
    <s v=""/>
  </r>
  <r>
    <s v="c49bc00c-4de4-40f9-8388-2b88655116e0"/>
    <s v="Paul Lee"/>
    <d v="2023-09-02T00:00:00"/>
    <x v="0"/>
    <x v="0"/>
    <n v="8"/>
    <n v="46.08"/>
    <n v="368.64"/>
    <s v="In-Progress"/>
    <s v="Sep"/>
    <n v="46.08"/>
  </r>
  <r>
    <s v="c70e762c-3644-4b05-9bdf-be1e21a632fa"/>
    <s v="Joseph Gaines"/>
    <d v="2024-08-01T00:00:00"/>
    <x v="1"/>
    <x v="3"/>
    <m/>
    <n v="174.72"/>
    <m/>
    <s v="Cancelled "/>
    <s v="Aug"/>
    <s v=""/>
  </r>
  <r>
    <s v="737d2fdc-8af9-41dc-8989-12ec76667f6a"/>
    <s v="Oscar Williams"/>
    <d v="2023-09-10T00:00:00"/>
    <x v="1"/>
    <x v="4"/>
    <n v="1"/>
    <n v="28.84"/>
    <n v="28.84"/>
    <s v="Cancelled "/>
    <s v="Sep"/>
    <n v="28.84"/>
  </r>
  <r>
    <s v="2d70fe89-75b5-48bd-8ee2-3ad0696516d5"/>
    <s v="Andres Graves"/>
    <d v="2024-12-26T00:00:00"/>
    <x v="4"/>
    <x v="3"/>
    <n v="7"/>
    <n v="22.16"/>
    <n v="155.12"/>
    <s v="completed "/>
    <s v="Dec"/>
    <n v="22.16"/>
  </r>
  <r>
    <s v="655c1f6c-9a0b-4874-ad08-f0ecd2a3efec"/>
    <s v="Angela Nunez"/>
    <d v="2024-12-11T00:00:00"/>
    <x v="4"/>
    <x v="3"/>
    <n v="7"/>
    <n v="117.15"/>
    <n v="820.05"/>
    <s v="CANCELLED"/>
    <s v="Dec"/>
    <n v="117.14999999999999"/>
  </r>
  <r>
    <s v="fedf95b7-1ec3-43a6-a639-2223a9470a9b"/>
    <s v="Leah Jones"/>
    <d v="2024-11-07T00:00:00"/>
    <x v="4"/>
    <x v="2"/>
    <m/>
    <n v="72.5"/>
    <m/>
    <s v="In-Progress"/>
    <s v="Nov"/>
    <s v=""/>
  </r>
  <r>
    <s v="c3c83e80-b16e-41be-961d-005a2faf85e9"/>
    <s v="Susan Lee"/>
    <d v="2023-05-30T00:00:00"/>
    <x v="1"/>
    <x v="4"/>
    <n v="5"/>
    <n v="49.73"/>
    <n v="248.65"/>
    <s v="CANCELLED"/>
    <s v="May"/>
    <n v="49.730000000000004"/>
  </r>
  <r>
    <s v="36ada7fe-d175-4409-925e-38a5066995e5"/>
    <s v="Travis Black"/>
    <d v="2024-03-09T00:00:00"/>
    <x v="0"/>
    <x v="3"/>
    <m/>
    <n v="126.05"/>
    <m/>
    <s v="completed "/>
    <s v="Mar"/>
    <s v=""/>
  </r>
  <r>
    <s v="e3ae3a14-ab92-4dce-b434-3d90f5f4cc17"/>
    <s v="Alyssa Giles"/>
    <d v="2023-05-10T00:00:00"/>
    <x v="2"/>
    <x v="1"/>
    <n v="8"/>
    <n v="109.19"/>
    <n v="873.52"/>
    <s v="Completed"/>
    <s v="May"/>
    <n v="109.19"/>
  </r>
  <r>
    <s v="0abacc05-2fb2-4bd4-a089-e267b67ade1a"/>
    <s v="Linda Mcmillan"/>
    <d v="2023-12-21T00:00:00"/>
    <x v="0"/>
    <x v="2"/>
    <n v="6"/>
    <n v="147.35"/>
    <n v="884.1"/>
    <s v="completed "/>
    <s v="Dec"/>
    <n v="147.35"/>
  </r>
  <r>
    <s v="71def0f6-3bfc-4415-972d-2c0b578ca309"/>
    <s v="Shannon Miranda"/>
    <d v="2025-03-18T00:00:00"/>
    <x v="1"/>
    <x v="1"/>
    <n v="3"/>
    <n v="120.21"/>
    <n v="360.63"/>
    <s v="CANCELLED"/>
    <s v="Mar"/>
    <n v="120.21"/>
  </r>
  <r>
    <s v="6e083b6e-af40-4c6f-8340-84c85836bedf"/>
    <s v="James Taylor"/>
    <d v="2025-01-11T00:00:00"/>
    <x v="4"/>
    <x v="3"/>
    <m/>
    <n v="37.35"/>
    <m/>
    <s v="in progress"/>
    <s v="Jan"/>
    <s v=""/>
  </r>
  <r>
    <s v="179afa59-7b7c-4221-a950-46623c70dee7"/>
    <s v="Joshua Martin"/>
    <d v="2025-04-28T00:00:00"/>
    <x v="1"/>
    <x v="2"/>
    <n v="3"/>
    <n v="70.709999999999994"/>
    <n v="212.13"/>
    <s v="Completed"/>
    <s v="Apr"/>
    <n v="70.709999999999994"/>
  </r>
  <r>
    <s v="fb4af4ee-0f6c-4cde-89f3-cd45d87c8aa8"/>
    <s v="Clinton Thompson"/>
    <d v="2024-10-08T00:00:00"/>
    <x v="0"/>
    <x v="4"/>
    <m/>
    <n v="169.35"/>
    <m/>
    <s v="completed "/>
    <s v="Oct"/>
    <s v=""/>
  </r>
  <r>
    <s v="f61e726d-dbca-4271-82e8-d8d76b399a0e"/>
    <s v="Nathan Evans"/>
    <d v="2023-07-22T00:00:00"/>
    <x v="0"/>
    <x v="0"/>
    <m/>
    <n v="129.85"/>
    <m/>
    <s v="CANCELLED"/>
    <s v="Jul"/>
    <s v=""/>
  </r>
  <r>
    <s v="64281938-b486-4ee8-9727-edc9c839316a"/>
    <s v="Jessica Reed"/>
    <d v="2023-05-13T00:00:00"/>
    <x v="0"/>
    <x v="2"/>
    <m/>
    <n v="98.47"/>
    <m/>
    <s v="in progress"/>
    <s v="May"/>
    <s v=""/>
  </r>
  <r>
    <s v="9b86799c-302a-45f8-9ac1-cccef77ddf19"/>
    <s v="Brent Ford"/>
    <d v="2024-06-11T00:00:00"/>
    <x v="4"/>
    <x v="3"/>
    <m/>
    <n v="48.93"/>
    <m/>
    <s v="in progress"/>
    <s v="Jun"/>
    <s v=""/>
  </r>
  <r>
    <s v="56fbd097-eed6-40d9-9d4c-660d11dc4f86"/>
    <s v="Rhonda Warren"/>
    <d v="2024-01-09T00:00:00"/>
    <x v="3"/>
    <x v="0"/>
    <m/>
    <n v="56.57"/>
    <m/>
    <s v="completed "/>
    <s v="Jan"/>
    <s v=""/>
  </r>
  <r>
    <s v="b6ab723d-8fba-4a19-b292-bbab7c8745e4"/>
    <s v="Vicki Padilla"/>
    <d v="2023-06-04T00:00:00"/>
    <x v="3"/>
    <x v="0"/>
    <m/>
    <n v="53.06"/>
    <m/>
    <s v="In-Progress"/>
    <s v="Jun"/>
    <s v=""/>
  </r>
  <r>
    <s v="86a55943-a9f3-48ef-808a-2da8ba028d39"/>
    <s v="Hannah Dennis"/>
    <d v="2024-02-10T00:00:00"/>
    <x v="3"/>
    <x v="0"/>
    <n v="9"/>
    <n v="52.53"/>
    <n v="472.77"/>
    <s v="Cancelled "/>
    <s v="Feb"/>
    <n v="52.53"/>
  </r>
  <r>
    <s v="c12b3f66-6254-473a-b19c-f6f36649b931"/>
    <s v="Rebecca Nguyen"/>
    <d v="2025-04-26T00:00:00"/>
    <x v="2"/>
    <x v="3"/>
    <m/>
    <n v="95.99"/>
    <m/>
    <s v="completed "/>
    <s v="Apr"/>
    <s v=""/>
  </r>
  <r>
    <s v="ea382186-6897-498f-bca8-f83f01793406"/>
    <s v="Lauren Scott"/>
    <d v="2024-01-30T00:00:00"/>
    <x v="0"/>
    <x v="1"/>
    <n v="7"/>
    <n v="143.54"/>
    <n v="1004.78"/>
    <s v="in progress"/>
    <s v="Jan"/>
    <n v="143.54"/>
  </r>
  <r>
    <s v="1ddd5ddc-6f5d-4ca8-8a67-29b430700de9"/>
    <s v="Amanda Freeman"/>
    <d v="2024-12-20T00:00:00"/>
    <x v="2"/>
    <x v="0"/>
    <m/>
    <n v="74.38"/>
    <m/>
    <s v="In-Progress"/>
    <s v="Dec"/>
    <s v=""/>
  </r>
  <r>
    <s v="6479024f-8f2c-4cab-ad57-be5efd43d48e"/>
    <s v="Sandra Davis"/>
    <d v="2025-04-24T00:00:00"/>
    <x v="2"/>
    <x v="0"/>
    <n v="4"/>
    <n v="130.19999999999999"/>
    <n v="520.79999999999995"/>
    <s v="In-Progress"/>
    <s v="Apr"/>
    <n v="130.19999999999999"/>
  </r>
  <r>
    <s v="763d00dc-c22a-43ca-a769-cf10bcd24ade"/>
    <s v="Angela Klein MD"/>
    <d v="2024-05-17T00:00:00"/>
    <x v="3"/>
    <x v="0"/>
    <m/>
    <n v="106.35"/>
    <m/>
    <s v="Cancelled "/>
    <s v="May"/>
    <s v=""/>
  </r>
  <r>
    <s v="9b36360c-e7f2-4218-95f9-e5399b05a38d"/>
    <s v="Robert Palmer"/>
    <d v="2023-10-28T00:00:00"/>
    <x v="2"/>
    <x v="2"/>
    <m/>
    <n v="67.540000000000006"/>
    <m/>
    <s v="In-Progress"/>
    <s v="Oct"/>
    <s v=""/>
  </r>
  <r>
    <s v="e4fb86bb-dec8-4ee2-8499-62419e166dbe"/>
    <s v="Brittany Murray"/>
    <d v="2023-09-26T00:00:00"/>
    <x v="0"/>
    <x v="1"/>
    <m/>
    <n v="27.5"/>
    <m/>
    <s v="in progress"/>
    <s v="Sep"/>
    <s v=""/>
  </r>
  <r>
    <s v="34d3ceb3-813d-4986-814a-6aec29eb8505"/>
    <s v="Brandy Green"/>
    <d v="2023-09-24T00:00:00"/>
    <x v="0"/>
    <x v="4"/>
    <n v="7"/>
    <n v="21.22"/>
    <n v="148.54"/>
    <s v="completed "/>
    <s v="Sep"/>
    <n v="21.22"/>
  </r>
  <r>
    <s v="e9faa16f-c70f-46a0-8d41-f06cc99132fe"/>
    <s v="Nathan Mcguire"/>
    <d v="2023-08-08T00:00:00"/>
    <x v="4"/>
    <x v="4"/>
    <m/>
    <n v="115.91"/>
    <m/>
    <s v="CANCELLED"/>
    <s v="Aug"/>
    <s v=""/>
  </r>
  <r>
    <s v="0e89ba05-f445-4bdd-9882-e0d07449234d"/>
    <s v="Holly Floyd"/>
    <d v="2023-08-26T00:00:00"/>
    <x v="0"/>
    <x v="4"/>
    <m/>
    <n v="60.45"/>
    <m/>
    <s v="CANCELLED"/>
    <s v="Aug"/>
    <s v=""/>
  </r>
  <r>
    <s v="564b5ec2-4898-436c-bb8d-a1cabfb0e65e"/>
    <s v="Charles Fleming"/>
    <d v="2023-05-22T00:00:00"/>
    <x v="2"/>
    <x v="0"/>
    <m/>
    <n v="104.44"/>
    <m/>
    <s v="In-Progress"/>
    <s v="May"/>
    <s v=""/>
  </r>
  <r>
    <s v="d369af3d-9092-4818-bf9a-27c9b8b00397"/>
    <s v="Michael Gill"/>
    <d v="2024-09-23T00:00:00"/>
    <x v="3"/>
    <x v="4"/>
    <m/>
    <n v="79.48"/>
    <m/>
    <s v="completed "/>
    <s v="Sep"/>
    <s v=""/>
  </r>
  <r>
    <s v="972aa8e3-cb84-4e29-9359-a141494be9ef"/>
    <s v="Jose Gross"/>
    <d v="2023-10-16T00:00:00"/>
    <x v="0"/>
    <x v="2"/>
    <m/>
    <n v="92.59"/>
    <m/>
    <s v="CANCELLED"/>
    <s v="Oct"/>
    <s v=""/>
  </r>
  <r>
    <s v="05ee0262-132a-4390-a974-cfb9f4b7f367"/>
    <s v="Carolyn Bean MD"/>
    <d v="2023-05-05T00:00:00"/>
    <x v="3"/>
    <x v="4"/>
    <n v="9"/>
    <n v="21.05"/>
    <n v="189.45"/>
    <s v="In-Progress"/>
    <s v="May"/>
    <n v="21.049999999999997"/>
  </r>
  <r>
    <s v="99918fa8-0e2c-4237-8f04-63a73564f190"/>
    <s v="Justin Anthony"/>
    <d v="2023-07-19T00:00:00"/>
    <x v="0"/>
    <x v="1"/>
    <m/>
    <n v="124.21"/>
    <m/>
    <s v="completed "/>
    <s v="Jul"/>
    <s v=""/>
  </r>
  <r>
    <s v="b56cd489-c0a7-431a-8e2e-764f7780d2d9"/>
    <s v="James Phillips"/>
    <d v="2024-06-14T00:00:00"/>
    <x v="0"/>
    <x v="0"/>
    <n v="6"/>
    <n v="30.75"/>
    <n v="184.5"/>
    <s v="in progress"/>
    <s v="Jun"/>
    <n v="30.75"/>
  </r>
  <r>
    <s v="485a7576-8cd4-49ec-9c26-01a0c0e2e118"/>
    <s v="Jessica Simpson"/>
    <d v="2023-11-05T00:00:00"/>
    <x v="3"/>
    <x v="1"/>
    <n v="4"/>
    <n v="87.62"/>
    <n v="350.48"/>
    <s v="completed "/>
    <s v="Nov"/>
    <n v="87.62"/>
  </r>
  <r>
    <s v="56c7c4e8-1d29-4cac-aa43-6721f3e921fa"/>
    <s v="James Hamilton"/>
    <d v="2024-09-25T00:00:00"/>
    <x v="1"/>
    <x v="2"/>
    <m/>
    <n v="117.75"/>
    <m/>
    <s v="Completed"/>
    <s v="Sep"/>
    <s v=""/>
  </r>
  <r>
    <s v="7248dd0a-34ac-4a66-893c-b48e109431a4"/>
    <s v="Emily Robinson"/>
    <d v="2024-08-07T00:00:00"/>
    <x v="1"/>
    <x v="2"/>
    <m/>
    <n v="63.92"/>
    <m/>
    <s v="in progress"/>
    <s v="Aug"/>
    <s v=""/>
  </r>
  <r>
    <s v="05b75cd1-32a7-479a-b873-4c8d3de65f2b"/>
    <s v="William Sutton"/>
    <d v="2024-08-26T00:00:00"/>
    <x v="4"/>
    <x v="2"/>
    <m/>
    <n v="102.05"/>
    <m/>
    <s v="Completed"/>
    <s v="Aug"/>
    <s v=""/>
  </r>
  <r>
    <s v="d7650396-35ae-47a8-8f9f-fb0e24f7c097"/>
    <s v="Eugene Smith"/>
    <d v="2024-01-23T00:00:00"/>
    <x v="3"/>
    <x v="3"/>
    <n v="1"/>
    <n v="81.93"/>
    <n v="81.93"/>
    <s v="in progress"/>
    <s v="Jan"/>
    <n v="81.93"/>
  </r>
  <r>
    <s v="9635436d-964c-4c58-be78-5803ea9ac91b"/>
    <s v="Kurt Tran"/>
    <d v="2023-05-07T00:00:00"/>
    <x v="1"/>
    <x v="2"/>
    <m/>
    <n v="11.5"/>
    <m/>
    <s v="in progress"/>
    <s v="May"/>
    <s v=""/>
  </r>
  <r>
    <s v="48ab3468-faeb-4571-86d3-aa87f32cb3b2"/>
    <s v="Rachel Avila"/>
    <d v="2023-11-02T00:00:00"/>
    <x v="3"/>
    <x v="1"/>
    <m/>
    <n v="114.8"/>
    <m/>
    <s v="Cancelled "/>
    <s v="Nov"/>
    <s v=""/>
  </r>
  <r>
    <s v="99ff95ec-d48f-46b2-b17b-24956769eabe"/>
    <s v="Amber Roberts"/>
    <d v="2023-06-04T00:00:00"/>
    <x v="3"/>
    <x v="4"/>
    <n v="9"/>
    <n v="22.87"/>
    <n v="205.83"/>
    <s v="Completed"/>
    <s v="Jun"/>
    <n v="22.87"/>
  </r>
  <r>
    <s v="cb3875ff-47b7-4710-821d-fa9689e7eab7"/>
    <s v="Amy Mclaughlin"/>
    <d v="2023-05-12T00:00:00"/>
    <x v="0"/>
    <x v="3"/>
    <m/>
    <n v="74.56"/>
    <m/>
    <s v="in progress"/>
    <s v="May"/>
    <s v=""/>
  </r>
  <r>
    <s v="794033ea-9003-4814-849f-cca69dce00b6"/>
    <s v="Melissa Jones"/>
    <d v="2024-01-22T00:00:00"/>
    <x v="0"/>
    <x v="1"/>
    <m/>
    <n v="173.3"/>
    <m/>
    <s v="in progress"/>
    <s v="Jan"/>
    <s v=""/>
  </r>
  <r>
    <s v="625ac28a-8fee-4664-8cd2-34a3b71d6451"/>
    <s v="Kelly Sloan"/>
    <d v="2025-04-06T00:00:00"/>
    <x v="2"/>
    <x v="2"/>
    <n v="3"/>
    <n v="184.89"/>
    <n v="554.66999999999996"/>
    <s v="completed "/>
    <s v="Apr"/>
    <n v="184.89"/>
  </r>
  <r>
    <s v="2ce5bf0b-0614-40cf-ac7c-12373bee0133"/>
    <s v="Derrick Brown IV"/>
    <d v="2025-03-23T00:00:00"/>
    <x v="0"/>
    <x v="1"/>
    <n v="7"/>
    <n v="49.72"/>
    <n v="348.04"/>
    <s v="CANCELLED"/>
    <s v="Mar"/>
    <n v="49.720000000000006"/>
  </r>
  <r>
    <s v="1d68ed5c-1dc2-4c3c-b7d5-05c965632419"/>
    <s v="Brian Boyd"/>
    <d v="2024-01-17T00:00:00"/>
    <x v="0"/>
    <x v="4"/>
    <n v="6"/>
    <n v="190.91"/>
    <n v="1145.46"/>
    <s v="Completed"/>
    <s v="Jan"/>
    <n v="190.91"/>
  </r>
  <r>
    <s v="fecb50d1-2cf1-49af-818a-90078cedba2d"/>
    <s v="Renee Mcpherson"/>
    <d v="2024-03-21T00:00:00"/>
    <x v="1"/>
    <x v="0"/>
    <n v="8"/>
    <n v="140.93"/>
    <n v="1127.44"/>
    <s v="In-Progress"/>
    <s v="Mar"/>
    <n v="140.93"/>
  </r>
  <r>
    <s v="35d8e01f-7845-4831-b747-403604c48320"/>
    <s v="Michael Campbell"/>
    <d v="2023-07-13T00:00:00"/>
    <x v="2"/>
    <x v="2"/>
    <m/>
    <n v="42.33"/>
    <m/>
    <s v="CANCELLED"/>
    <s v="Jul"/>
    <s v=""/>
  </r>
  <r>
    <s v="93e580f9-bc86-4ce5-86d5-033ff9266230"/>
    <s v="Darlene Freeman"/>
    <d v="2024-11-30T00:00:00"/>
    <x v="1"/>
    <x v="3"/>
    <n v="5"/>
    <n v="47.46"/>
    <n v="237.3"/>
    <s v="completed "/>
    <s v="Nov"/>
    <n v="47.46"/>
  </r>
  <r>
    <s v="30b351f7-d115-42da-81c2-496242ea466e"/>
    <s v="Kimberly Boyd"/>
    <d v="2023-07-02T00:00:00"/>
    <x v="0"/>
    <x v="1"/>
    <n v="1"/>
    <n v="85.34"/>
    <n v="85.34"/>
    <s v="In-Progress"/>
    <s v="Jul"/>
    <n v="85.34"/>
  </r>
  <r>
    <s v="2d137071-b890-41ea-8cb1-b147415aa482"/>
    <s v="Rebecca Hunt"/>
    <d v="2025-02-14T00:00:00"/>
    <x v="0"/>
    <x v="0"/>
    <m/>
    <n v="177.06"/>
    <m/>
    <s v="In-Progress"/>
    <s v="Feb"/>
    <s v=""/>
  </r>
  <r>
    <s v="4cef757c-48b5-4824-93e9-9f107dcf61cf"/>
    <s v="Jacob Turner"/>
    <d v="2024-07-23T00:00:00"/>
    <x v="0"/>
    <x v="4"/>
    <m/>
    <n v="199.31"/>
    <m/>
    <s v="Completed"/>
    <s v="Jul"/>
    <s v=""/>
  </r>
  <r>
    <s v="2e890b2c-fa45-4d1f-a7d1-4eb57e9ec25a"/>
    <s v="Katelyn Reed"/>
    <d v="2025-01-21T00:00:00"/>
    <x v="4"/>
    <x v="0"/>
    <n v="6"/>
    <n v="176.51"/>
    <n v="1059.06"/>
    <s v="In-Progress"/>
    <s v="Jan"/>
    <n v="176.51"/>
  </r>
  <r>
    <s v="a04c54f2-269b-4bdc-a225-cc9dbb0a2d34"/>
    <s v="Anthony Simpson"/>
    <d v="2023-10-02T00:00:00"/>
    <x v="0"/>
    <x v="1"/>
    <n v="8"/>
    <n v="60.02"/>
    <n v="480.16"/>
    <s v="In-Progress"/>
    <s v="Oct"/>
    <n v="60.02"/>
  </r>
  <r>
    <s v="edfb9996-9462-4091-88d7-9b66666f4801"/>
    <s v="Christopher Fox"/>
    <d v="2025-02-10T00:00:00"/>
    <x v="0"/>
    <x v="0"/>
    <n v="9"/>
    <n v="54.91"/>
    <n v="494.19"/>
    <s v="Cancelled "/>
    <s v="Feb"/>
    <n v="54.91"/>
  </r>
  <r>
    <s v="048b36c4-e498-47db-a5fc-910ee570c945"/>
    <s v="Madison Mayo"/>
    <d v="2024-11-29T00:00:00"/>
    <x v="2"/>
    <x v="3"/>
    <m/>
    <n v="67.459999999999994"/>
    <m/>
    <s v="In-Progress"/>
    <s v="Nov"/>
    <s v=""/>
  </r>
  <r>
    <s v="206c7c92-ed53-441e-bd25-7c38888d6a96"/>
    <s v="Amy Thompson"/>
    <d v="2025-05-02T00:00:00"/>
    <x v="0"/>
    <x v="3"/>
    <n v="1"/>
    <n v="74.98"/>
    <m/>
    <s v="In-Progress"/>
    <s v="May"/>
    <s v=""/>
  </r>
  <r>
    <s v="fd355156-887f-4115-8236-77a0f22007f7"/>
    <s v="John Torres"/>
    <d v="2023-09-21T00:00:00"/>
    <x v="0"/>
    <x v="2"/>
    <m/>
    <n v="194.61"/>
    <m/>
    <s v="CANCELLED"/>
    <s v="Sep"/>
    <s v=""/>
  </r>
  <r>
    <s v="a378ba26-ea54-4ed8-a60e-ee23a9eefe7a"/>
    <s v="Michelle Martin"/>
    <d v="2025-03-05T00:00:00"/>
    <x v="1"/>
    <x v="1"/>
    <n v="4"/>
    <n v="53.55"/>
    <n v="214.2"/>
    <s v="CANCELLED"/>
    <s v="Mar"/>
    <n v="53.55"/>
  </r>
  <r>
    <s v="913a411a-7448-428e-8401-03507a7bc90a"/>
    <s v="Tasha Norton"/>
    <d v="2024-03-20T00:00:00"/>
    <x v="1"/>
    <x v="4"/>
    <m/>
    <n v="83.8"/>
    <m/>
    <s v="in progress"/>
    <s v="Mar"/>
    <s v=""/>
  </r>
  <r>
    <s v="20fcb0a0-23c5-4217-9a8f-e10f8290a373"/>
    <s v="Amanda Wolf"/>
    <d v="2023-10-24T00:00:00"/>
    <x v="0"/>
    <x v="2"/>
    <m/>
    <n v="172.19"/>
    <m/>
    <s v="Cancelled "/>
    <s v="Oct"/>
    <s v=""/>
  </r>
  <r>
    <s v="b87a6633-f2ca-44f5-b1d3-1373e2dd9704"/>
    <s v="Joy Perez"/>
    <d v="2023-10-13T00:00:00"/>
    <x v="1"/>
    <x v="0"/>
    <n v="3"/>
    <n v="121.79"/>
    <n v="365.37"/>
    <s v="In-Progress"/>
    <s v="Oct"/>
    <n v="121.79"/>
  </r>
  <r>
    <s v="50fbd5f8-66cc-4f2b-bde5-0222536284a7"/>
    <s v="Victoria Jackson"/>
    <d v="2023-12-17T00:00:00"/>
    <x v="0"/>
    <x v="1"/>
    <m/>
    <n v="24.87"/>
    <m/>
    <s v="In-Progress"/>
    <s v="Dec"/>
    <s v=""/>
  </r>
  <r>
    <s v="c983419f-a231-48ac-b879-2ed489b05460"/>
    <s v="Alexander Nguyen"/>
    <d v="2024-05-09T00:00:00"/>
    <x v="0"/>
    <x v="2"/>
    <n v="5"/>
    <n v="51.21"/>
    <n v="256.05"/>
    <s v="in progress"/>
    <s v="May"/>
    <n v="51.21"/>
  </r>
  <r>
    <s v="12bc3c09-fc84-4aa3-aa18-10928ef39e37"/>
    <s v="Joanna Murphy"/>
    <d v="2025-04-04T00:00:00"/>
    <x v="0"/>
    <x v="3"/>
    <n v="1"/>
    <n v="98.2"/>
    <n v="98.2"/>
    <s v="in progress"/>
    <s v="Apr"/>
    <n v="98.2"/>
  </r>
  <r>
    <s v="6f64d813-ba4f-423b-8f6a-796008a0ae36"/>
    <s v="Beth Woodard"/>
    <d v="2024-07-12T00:00:00"/>
    <x v="0"/>
    <x v="3"/>
    <n v="8"/>
    <n v="185.25"/>
    <n v="1482"/>
    <s v="completed "/>
    <s v="Jul"/>
    <n v="185.25"/>
  </r>
  <r>
    <s v="eae10a42-e11f-4f08-b378-3a52224b2215"/>
    <s v="Allison Cruz"/>
    <d v="2023-06-06T00:00:00"/>
    <x v="3"/>
    <x v="0"/>
    <m/>
    <n v="148.85"/>
    <m/>
    <s v="in progress"/>
    <s v="Jun"/>
    <s v=""/>
  </r>
  <r>
    <s v="93b2d5c8-404f-4fd6-aefb-2fa3847911f1"/>
    <s v="Andrew Griffith"/>
    <d v="2024-10-26T00:00:00"/>
    <x v="2"/>
    <x v="3"/>
    <n v="1"/>
    <n v="15.55"/>
    <n v="15.55"/>
    <s v="In-Progress"/>
    <s v="Oct"/>
    <n v="15.55"/>
  </r>
  <r>
    <s v="da047a22-2ff5-44b6-a6b6-eed8fcea5ea9"/>
    <s v="Hannah Watson"/>
    <d v="2024-11-27T00:00:00"/>
    <x v="0"/>
    <x v="1"/>
    <m/>
    <n v="22.08"/>
    <m/>
    <s v="completed "/>
    <s v="Nov"/>
    <s v=""/>
  </r>
  <r>
    <s v="f21255fc-10ed-458a-b243-c375739f580f"/>
    <s v="Jerome Williams"/>
    <d v="2023-05-23T00:00:00"/>
    <x v="4"/>
    <x v="1"/>
    <m/>
    <n v="160.75"/>
    <m/>
    <s v="In-Progress"/>
    <s v="May"/>
    <s v=""/>
  </r>
  <r>
    <s v="ffe4f4e2-47ce-4017-b9ce-3aadd815ae22"/>
    <s v="Chris Sanders"/>
    <d v="2025-03-24T00:00:00"/>
    <x v="3"/>
    <x v="2"/>
    <m/>
    <n v="29"/>
    <m/>
    <s v="in progress"/>
    <s v="Mar"/>
    <s v=""/>
  </r>
  <r>
    <s v="f6b57ca8-49a9-4d72-82ed-17a1133ee5b9"/>
    <s v="David Gomez"/>
    <d v="2024-03-15T00:00:00"/>
    <x v="0"/>
    <x v="3"/>
    <m/>
    <n v="183.09"/>
    <m/>
    <s v="Cancelled "/>
    <s v="Mar"/>
    <s v=""/>
  </r>
  <r>
    <s v="415e698a-dd32-4e7d-9dc3-d50c3e3ebe9a"/>
    <s v="Bryan Scott"/>
    <d v="2024-04-06T00:00:00"/>
    <x v="1"/>
    <x v="1"/>
    <m/>
    <n v="73.900000000000006"/>
    <m/>
    <s v="Completed"/>
    <s v="Apr"/>
    <s v=""/>
  </r>
  <r>
    <s v="ca3cbe7c-461f-46b2-8ccd-27a237f37489"/>
    <s v="Marilyn Curtis"/>
    <d v="2025-01-04T00:00:00"/>
    <x v="1"/>
    <x v="0"/>
    <m/>
    <n v="24.47"/>
    <m/>
    <s v="Completed"/>
    <s v="Jan"/>
    <s v=""/>
  </r>
  <r>
    <s v="cf92936d-2396-4943-b67a-87aaaa9c73a4"/>
    <s v="Donna Bridges"/>
    <d v="2024-09-10T00:00:00"/>
    <x v="4"/>
    <x v="1"/>
    <n v="1"/>
    <n v="153.41"/>
    <n v="153.41"/>
    <s v="CANCELLED"/>
    <s v="Sep"/>
    <n v="153.41"/>
  </r>
  <r>
    <s v="5d4821bf-7505-4895-8b7e-9aa618bfd659"/>
    <s v="Edward Rogers"/>
    <d v="2024-07-14T00:00:00"/>
    <x v="1"/>
    <x v="3"/>
    <m/>
    <n v="131.83000000000001"/>
    <m/>
    <s v="Cancelled "/>
    <s v="Jul"/>
    <s v=""/>
  </r>
  <r>
    <s v="5e1dfb0a-42bc-4a2a-9175-7fe2a7c5f3c8"/>
    <s v="Daniel Vazquez"/>
    <d v="2024-11-29T00:00:00"/>
    <x v="2"/>
    <x v="3"/>
    <m/>
    <n v="79.010000000000005"/>
    <m/>
    <s v="in progress"/>
    <s v="Nov"/>
    <s v=""/>
  </r>
  <r>
    <s v="019dc047-d622-47b4-9cfe-77b17da076f0"/>
    <s v="Leslie Jackson"/>
    <d v="2025-03-12T00:00:00"/>
    <x v="0"/>
    <x v="2"/>
    <m/>
    <n v="59.54"/>
    <m/>
    <s v="completed "/>
    <s v="Mar"/>
    <s v=""/>
  </r>
  <r>
    <s v="1bdcd695-a345-45ee-9402-99c68da87929"/>
    <s v="Kenneth Scott"/>
    <d v="2023-10-26T00:00:00"/>
    <x v="0"/>
    <x v="2"/>
    <m/>
    <n v="172.24"/>
    <m/>
    <s v="In-Progress"/>
    <s v="Oct"/>
    <s v=""/>
  </r>
  <r>
    <s v="b241f570-dfa6-4606-9201-e82940bef1fd"/>
    <s v="Brett Boyd"/>
    <d v="2024-03-31T00:00:00"/>
    <x v="2"/>
    <x v="4"/>
    <m/>
    <n v="37.159999999999997"/>
    <m/>
    <s v="Cancelled "/>
    <s v="Mar"/>
    <s v=""/>
  </r>
  <r>
    <s v="1b59153f-dc53-423e-861a-ae85452aac12"/>
    <s v="Angela Lam"/>
    <d v="2024-12-17T00:00:00"/>
    <x v="0"/>
    <x v="1"/>
    <m/>
    <n v="32.21"/>
    <m/>
    <s v="Completed"/>
    <s v="Dec"/>
    <s v=""/>
  </r>
  <r>
    <s v="ec5a6686-1a7a-4529-8e98-182704fcea02"/>
    <s v="Richard Rich"/>
    <d v="2024-05-03T00:00:00"/>
    <x v="0"/>
    <x v="3"/>
    <n v="7"/>
    <n v="139.96"/>
    <m/>
    <s v="Cancelled "/>
    <s v="May"/>
    <s v=""/>
  </r>
  <r>
    <s v="1e435e96-880f-41f6-a257-a6666ee29eeb"/>
    <s v="Elizabeth Thompson"/>
    <d v="2024-07-22T00:00:00"/>
    <x v="2"/>
    <x v="1"/>
    <m/>
    <n v="168.58"/>
    <m/>
    <s v="Cancelled "/>
    <s v="Jul"/>
    <s v=""/>
  </r>
  <r>
    <s v="79f07a4d-0c37-46ed-8681-779fd3c630f4"/>
    <s v="James Lynn"/>
    <d v="2023-12-01T00:00:00"/>
    <x v="0"/>
    <x v="3"/>
    <m/>
    <n v="154.13"/>
    <m/>
    <s v="in progress"/>
    <s v="Dec"/>
    <s v=""/>
  </r>
  <r>
    <s v="8c2572fe-94d8-42a4-9f2d-864bcb7a9e30"/>
    <s v="Jacob Cervantes"/>
    <d v="2023-06-28T00:00:00"/>
    <x v="1"/>
    <x v="3"/>
    <m/>
    <n v="181.96"/>
    <m/>
    <s v="Completed"/>
    <s v="Jun"/>
    <s v=""/>
  </r>
  <r>
    <s v="22bdf058-827e-4c1d-b920-b187541ae79d"/>
    <s v="Tammie Ross"/>
    <d v="2024-11-20T00:00:00"/>
    <x v="1"/>
    <x v="0"/>
    <n v="8"/>
    <n v="180.12"/>
    <n v="1440.96"/>
    <s v="Cancelled "/>
    <s v="Nov"/>
    <n v="180.12"/>
  </r>
  <r>
    <s v="ce8de62e-c17a-45d6-b40b-92191a6fb84c"/>
    <s v="Brittney Cole"/>
    <d v="2023-05-06T00:00:00"/>
    <x v="4"/>
    <x v="1"/>
    <m/>
    <n v="60.21"/>
    <m/>
    <s v="completed "/>
    <s v="May"/>
    <s v=""/>
  </r>
  <r>
    <s v="0e00c6ff-a84a-4c9b-9a5a-8e0ae7f82e24"/>
    <s v="Adrienne Norman"/>
    <d v="2025-02-17T00:00:00"/>
    <x v="0"/>
    <x v="3"/>
    <m/>
    <n v="23.79"/>
    <m/>
    <s v="In-Progress"/>
    <s v="Feb"/>
    <s v=""/>
  </r>
  <r>
    <s v="d7b2a589-121c-49ba-9e5a-006fd6ea6de8"/>
    <s v="Priscilla Sullivan"/>
    <d v="2025-02-25T00:00:00"/>
    <x v="3"/>
    <x v="3"/>
    <m/>
    <n v="125.05"/>
    <m/>
    <s v="Cancelled "/>
    <s v="Feb"/>
    <s v=""/>
  </r>
  <r>
    <s v="a3291915-bf65-45e6-9294-8a67769d0bce"/>
    <s v="Jennifer Scott"/>
    <d v="2023-06-27T00:00:00"/>
    <x v="0"/>
    <x v="1"/>
    <m/>
    <n v="101.06"/>
    <m/>
    <s v="Cancelled "/>
    <s v="Jun"/>
    <s v=""/>
  </r>
  <r>
    <s v="8e587fa5-b628-4f70-a398-5c963eb2273d"/>
    <s v="James Alvarez"/>
    <d v="2023-10-12T00:00:00"/>
    <x v="2"/>
    <x v="2"/>
    <m/>
    <n v="105.02"/>
    <m/>
    <s v="completed "/>
    <s v="Oct"/>
    <s v=""/>
  </r>
  <r>
    <s v="178e3185-c146-46c2-90f8-36dd9a00e01e"/>
    <s v="Kyle Howard"/>
    <d v="2023-11-05T00:00:00"/>
    <x v="0"/>
    <x v="2"/>
    <n v="1"/>
    <n v="47.98"/>
    <n v="47.98"/>
    <s v="CANCELLED"/>
    <s v="Nov"/>
    <n v="47.98"/>
  </r>
  <r>
    <s v="621ca3c3-9921-4de6-b97d-bc6b16bdf1ad"/>
    <s v="Andrew Martinez"/>
    <d v="2023-10-20T00:00:00"/>
    <x v="0"/>
    <x v="0"/>
    <n v="9"/>
    <n v="163.19"/>
    <n v="1468.71"/>
    <s v="Completed"/>
    <s v="Oct"/>
    <n v="163.19"/>
  </r>
  <r>
    <s v="5720c219-9823-47cd-b943-be6966c3e9b8"/>
    <s v="Adam Johnson"/>
    <d v="2024-01-24T00:00:00"/>
    <x v="0"/>
    <x v="3"/>
    <m/>
    <n v="127.33"/>
    <m/>
    <s v="completed "/>
    <s v="Jan"/>
    <s v=""/>
  </r>
  <r>
    <s v="5cbb105f-b635-45a6-9176-d83c49661639"/>
    <s v="Henry Burke"/>
    <d v="2023-07-09T00:00:00"/>
    <x v="0"/>
    <x v="2"/>
    <m/>
    <n v="47.36"/>
    <m/>
    <s v="in progress"/>
    <s v="Jul"/>
    <s v=""/>
  </r>
  <r>
    <s v="11b0a5e1-4aed-4bf0-b2cd-4d8fdb11ad84"/>
    <s v="Faith Bradley"/>
    <d v="2025-02-16T00:00:00"/>
    <x v="4"/>
    <x v="1"/>
    <n v="4"/>
    <n v="55.6"/>
    <n v="222.4"/>
    <s v="in progress"/>
    <s v="Feb"/>
    <n v="55.6"/>
  </r>
  <r>
    <s v="f9a2e362-4f72-4361-9d2f-0df1255a480d"/>
    <s v="Nicholas Spencer"/>
    <d v="2025-03-16T00:00:00"/>
    <x v="3"/>
    <x v="1"/>
    <n v="4"/>
    <n v="181.9"/>
    <n v="727.6"/>
    <s v="in progress"/>
    <s v="Mar"/>
    <n v="181.9"/>
  </r>
  <r>
    <s v="1746c7d9-4721-4df6-9cf5-1c8de0705547"/>
    <s v="Robin Rogers"/>
    <d v="2023-05-16T00:00:00"/>
    <x v="0"/>
    <x v="4"/>
    <m/>
    <n v="127.23"/>
    <m/>
    <s v="Cancelled "/>
    <s v="May"/>
    <s v=""/>
  </r>
  <r>
    <s v="8129a273-7c85-4b87-86c6-86019d41483f"/>
    <s v="Christine Herring"/>
    <d v="2023-12-28T00:00:00"/>
    <x v="0"/>
    <x v="1"/>
    <n v="3"/>
    <n v="127.96"/>
    <m/>
    <s v="in progress"/>
    <s v="Dec"/>
    <s v=""/>
  </r>
  <r>
    <s v="cb70f3c6-7e31-4f93-8215-22226ebd7289"/>
    <s v="Kathryn Brown"/>
    <d v="2024-08-21T00:00:00"/>
    <x v="2"/>
    <x v="0"/>
    <m/>
    <n v="51.88"/>
    <m/>
    <s v="in progress"/>
    <s v="Aug"/>
    <s v=""/>
  </r>
  <r>
    <s v="9030f2c0-c97f-48df-9fbe-4b7d8b9bb007"/>
    <s v="Linda Proctor"/>
    <d v="2024-09-01T00:00:00"/>
    <x v="2"/>
    <x v="4"/>
    <m/>
    <n v="34.46"/>
    <m/>
    <s v="Completed"/>
    <s v="Sep"/>
    <s v=""/>
  </r>
  <r>
    <s v="8ef83c57-6204-46f9-ba66-77648991d960"/>
    <s v="Miguel Lewis"/>
    <d v="2023-11-17T00:00:00"/>
    <x v="2"/>
    <x v="2"/>
    <m/>
    <n v="55.54"/>
    <m/>
    <s v="completed "/>
    <s v="Nov"/>
    <s v=""/>
  </r>
  <r>
    <s v="fe79662a-ddae-4453-a665-2c67e93ac5aa"/>
    <s v="Jacqueline Berry"/>
    <d v="2023-09-24T00:00:00"/>
    <x v="0"/>
    <x v="3"/>
    <m/>
    <n v="45.77"/>
    <m/>
    <s v="Completed"/>
    <s v="Sep"/>
    <s v=""/>
  </r>
  <r>
    <s v="c589146b-b3b1-4dce-9151-6f6e12ca447f"/>
    <s v="Barbara Dickerson"/>
    <d v="2024-10-19T00:00:00"/>
    <x v="2"/>
    <x v="0"/>
    <n v="9"/>
    <n v="176.62"/>
    <n v="1589.58"/>
    <s v="completed "/>
    <s v="Oct"/>
    <n v="176.62"/>
  </r>
  <r>
    <s v="210497b9-a966-44fe-a0b4-892927359e54"/>
    <s v="Bryan Russell"/>
    <d v="2024-01-30T00:00:00"/>
    <x v="3"/>
    <x v="1"/>
    <n v="1"/>
    <n v="158.72999999999999"/>
    <n v="158.72999999999999"/>
    <s v="In-Progress"/>
    <s v="Jan"/>
    <n v="158.72999999999999"/>
  </r>
  <r>
    <s v="6beafcc6-a36b-4312-b592-56eef28fa0c0"/>
    <s v="Samuel Daniels"/>
    <d v="2023-12-01T00:00:00"/>
    <x v="2"/>
    <x v="2"/>
    <n v="8"/>
    <n v="34.85"/>
    <n v="278.8"/>
    <s v="in progress"/>
    <s v="Dec"/>
    <n v="34.85"/>
  </r>
  <r>
    <s v="b2aeccf0-32cc-4262-b222-c7474f3040cb"/>
    <s v="Kristopher Jones"/>
    <d v="2025-01-31T00:00:00"/>
    <x v="0"/>
    <x v="0"/>
    <n v="7"/>
    <n v="132.26"/>
    <n v="925.82"/>
    <s v="CANCELLED"/>
    <s v="Jan"/>
    <n v="132.26000000000002"/>
  </r>
  <r>
    <s v="1d32f1b6-b665-4a39-a7a5-b8869db9fd4e"/>
    <s v="James Monroe"/>
    <d v="2023-09-19T00:00:00"/>
    <x v="4"/>
    <x v="1"/>
    <n v="2"/>
    <n v="162.04"/>
    <n v="324.08"/>
    <s v="completed "/>
    <s v="Sep"/>
    <n v="162.04"/>
  </r>
  <r>
    <s v="d48c5b3f-0e35-4134-8d39-44b4b8c54e82"/>
    <s v="Marco Lewis"/>
    <d v="2023-05-15T00:00:00"/>
    <x v="0"/>
    <x v="4"/>
    <n v="8"/>
    <n v="21.29"/>
    <n v="170.32"/>
    <s v="completed "/>
    <s v="May"/>
    <n v="21.29"/>
  </r>
  <r>
    <s v="f7d0e8fe-f4c9-4e0e-97cf-6cc61acb711b"/>
    <s v="Kimberly Gonzalez"/>
    <d v="2023-12-25T00:00:00"/>
    <x v="4"/>
    <x v="2"/>
    <m/>
    <n v="89.11"/>
    <m/>
    <s v="completed "/>
    <s v="Dec"/>
    <s v=""/>
  </r>
  <r>
    <s v="c0441b85-00e0-4293-a294-a120b2e08b1a"/>
    <s v="Dave Perez"/>
    <d v="2024-03-08T00:00:00"/>
    <x v="0"/>
    <x v="1"/>
    <n v="9"/>
    <n v="112.67"/>
    <n v="1014.03"/>
    <s v="completed "/>
    <s v="Mar"/>
    <n v="112.67"/>
  </r>
  <r>
    <s v="a824b667-7625-42e3-be73-9e73ab342183"/>
    <s v="Dylan Moore"/>
    <d v="2024-01-14T00:00:00"/>
    <x v="4"/>
    <x v="3"/>
    <n v="9"/>
    <n v="156.28"/>
    <n v="1406.52"/>
    <s v="CANCELLED"/>
    <s v="Jan"/>
    <n v="156.28"/>
  </r>
  <r>
    <s v="dbbe7333-62f9-48fc-a33c-d25bf8b94f7d"/>
    <s v="Jeremy Black"/>
    <d v="2025-01-03T00:00:00"/>
    <x v="0"/>
    <x v="0"/>
    <n v="2"/>
    <n v="130.5"/>
    <n v="261"/>
    <s v="CANCELLED"/>
    <s v="Jan"/>
    <n v="130.5"/>
  </r>
  <r>
    <s v="2c9da871-e2e4-4e8f-9c72-e21824182a69"/>
    <s v="Katherine Shaw"/>
    <d v="2025-04-30T00:00:00"/>
    <x v="1"/>
    <x v="4"/>
    <m/>
    <n v="116.95"/>
    <m/>
    <s v="in progress"/>
    <s v="Apr"/>
    <s v=""/>
  </r>
  <r>
    <s v="46ca0dac-8210-4811-b628-06c45b277c1e"/>
    <s v="Christopher Torres"/>
    <d v="2024-09-10T00:00:00"/>
    <x v="1"/>
    <x v="3"/>
    <m/>
    <n v="44.5"/>
    <m/>
    <s v="In-Progress"/>
    <s v="Sep"/>
    <s v=""/>
  </r>
  <r>
    <s v="1db2bacf-2f59-4441-9360-5953afd404c9"/>
    <s v="Tiffany Holland"/>
    <d v="2025-03-30T00:00:00"/>
    <x v="0"/>
    <x v="1"/>
    <n v="7"/>
    <n v="73.540000000000006"/>
    <n v="514.78"/>
    <s v="CANCELLED"/>
    <s v="Mar"/>
    <n v="73.539999999999992"/>
  </r>
  <r>
    <s v="89d1911b-e80f-44ab-97e7-535bef3bfece"/>
    <s v="Jordan Clarke"/>
    <d v="2024-11-10T00:00:00"/>
    <x v="4"/>
    <x v="2"/>
    <n v="9"/>
    <n v="182.1"/>
    <n v="1638.9"/>
    <s v="In-Progress"/>
    <s v="Nov"/>
    <n v="182.10000000000002"/>
  </r>
  <r>
    <s v="121e30c0-9aff-4674-b34e-c0d2bb86f14c"/>
    <s v="Karen Martinez"/>
    <d v="2023-07-14T00:00:00"/>
    <x v="1"/>
    <x v="1"/>
    <m/>
    <n v="27.01"/>
    <m/>
    <s v="In-Progress"/>
    <s v="Jul"/>
    <s v=""/>
  </r>
  <r>
    <s v="8321baaf-aa63-4615-b752-61bb8b241d39"/>
    <s v="Kristina Bishop"/>
    <d v="2024-09-05T00:00:00"/>
    <x v="0"/>
    <x v="2"/>
    <n v="1"/>
    <n v="132.46"/>
    <n v="132.46"/>
    <s v="Completed"/>
    <s v="Sep"/>
    <n v="132.46"/>
  </r>
  <r>
    <s v="a8c7c244-a404-4307-9204-bb5099050155"/>
    <s v="Cassandra Mcconnell"/>
    <d v="2024-03-10T00:00:00"/>
    <x v="0"/>
    <x v="1"/>
    <m/>
    <n v="66.12"/>
    <m/>
    <s v="Cancelled "/>
    <s v="Mar"/>
    <s v=""/>
  </r>
  <r>
    <s v="a31e1845-3714-40c8-a5c8-98a6bdb8c5eb"/>
    <s v="Shannon Rhodes"/>
    <d v="2023-11-04T00:00:00"/>
    <x v="0"/>
    <x v="3"/>
    <n v="1"/>
    <n v="76.38"/>
    <n v="76.38"/>
    <s v="in progress"/>
    <s v="Nov"/>
    <n v="76.38"/>
  </r>
  <r>
    <s v="4926ae32-17df-4099-95c1-d2806b5cad0c"/>
    <s v="Debbie Smith"/>
    <d v="2025-01-29T00:00:00"/>
    <x v="0"/>
    <x v="3"/>
    <m/>
    <n v="52.42"/>
    <m/>
    <s v="In-Progress"/>
    <s v="Jan"/>
    <s v=""/>
  </r>
  <r>
    <s v="ec9eaefb-8621-4035-b147-0f94a1651085"/>
    <s v="Brian Richardson"/>
    <d v="2024-03-12T00:00:00"/>
    <x v="2"/>
    <x v="1"/>
    <m/>
    <n v="91.89"/>
    <m/>
    <s v="in progress"/>
    <s v="Mar"/>
    <s v=""/>
  </r>
  <r>
    <s v="e90c54a1-659e-474d-b9d5-bf1b9fb66aec"/>
    <s v="Mary Ward"/>
    <d v="2024-03-24T00:00:00"/>
    <x v="0"/>
    <x v="1"/>
    <n v="7"/>
    <n v="57.53"/>
    <n v="402.71"/>
    <s v="in progress"/>
    <s v="Mar"/>
    <n v="57.529999999999994"/>
  </r>
  <r>
    <s v="b4f2c61f-a2bd-4405-a87e-231b62c1be56"/>
    <s v="Benjamin Hill"/>
    <d v="2025-04-13T00:00:00"/>
    <x v="0"/>
    <x v="2"/>
    <m/>
    <n v="36.72"/>
    <m/>
    <s v="in progress"/>
    <s v="Apr"/>
    <s v=""/>
  </r>
  <r>
    <s v="82be6b3c-2aca-4891-a3cd-14314f8e59ee"/>
    <s v="Michael Richards"/>
    <d v="2025-04-27T00:00:00"/>
    <x v="4"/>
    <x v="1"/>
    <m/>
    <n v="87"/>
    <m/>
    <s v="in progress"/>
    <s v="Apr"/>
    <s v=""/>
  </r>
  <r>
    <s v="dd87e14f-1b27-4c0e-a77d-75d29fa39eff"/>
    <s v="Adam Werner"/>
    <d v="2024-12-05T00:00:00"/>
    <x v="3"/>
    <x v="0"/>
    <m/>
    <n v="166.72"/>
    <m/>
    <s v="Completed"/>
    <s v="Dec"/>
    <s v=""/>
  </r>
  <r>
    <s v="a200f3b7-60c0-4973-abf6-943e7918b2f2"/>
    <s v="Michael Gordon"/>
    <d v="2025-04-17T00:00:00"/>
    <x v="0"/>
    <x v="3"/>
    <n v="3"/>
    <n v="119.12"/>
    <n v="357.36"/>
    <s v="Cancelled "/>
    <s v="Apr"/>
    <n v="119.12"/>
  </r>
  <r>
    <s v="a8c5abe4-ccad-46d5-9c41-bd448f378e8a"/>
    <s v="Kristin Kramer"/>
    <d v="2024-11-04T00:00:00"/>
    <x v="0"/>
    <x v="0"/>
    <n v="3"/>
    <n v="84.93"/>
    <n v="254.79"/>
    <s v="in progress"/>
    <s v="Nov"/>
    <n v="84.929999999999993"/>
  </r>
  <r>
    <s v="f5ff7a92-c5db-42f3-b088-30e2e4c0f3a8"/>
    <s v="Joyce Humphrey"/>
    <d v="2024-11-02T00:00:00"/>
    <x v="4"/>
    <x v="3"/>
    <m/>
    <n v="184.48"/>
    <m/>
    <s v="Completed"/>
    <s v="Nov"/>
    <s v=""/>
  </r>
  <r>
    <s v="57155201-55ad-4dd2-9219-e111b571a391"/>
    <s v="Rachel Perry"/>
    <d v="2023-09-29T00:00:00"/>
    <x v="0"/>
    <x v="4"/>
    <n v="8"/>
    <n v="88.2"/>
    <n v="705.6"/>
    <s v="CANCELLED"/>
    <s v="Sep"/>
    <n v="88.2"/>
  </r>
  <r>
    <s v="913bf53f-7e16-44d7-af3b-4bbb3238e384"/>
    <s v="Michael Mayo"/>
    <d v="2024-04-04T00:00:00"/>
    <x v="3"/>
    <x v="3"/>
    <m/>
    <n v="105.1"/>
    <m/>
    <s v="Cancelled "/>
    <s v="Apr"/>
    <s v=""/>
  </r>
  <r>
    <s v="818d2a44-3cf3-4427-8c87-366ca0f888f7"/>
    <s v="Kyle Smith"/>
    <d v="2024-11-27T00:00:00"/>
    <x v="2"/>
    <x v="3"/>
    <m/>
    <n v="138.28"/>
    <m/>
    <s v="Completed"/>
    <s v="Nov"/>
    <s v=""/>
  </r>
  <r>
    <s v="ac61b0bf-42f7-4b34-ab71-952a14ee76ef"/>
    <s v="James Fox"/>
    <d v="2024-06-15T00:00:00"/>
    <x v="2"/>
    <x v="2"/>
    <n v="1"/>
    <n v="65.069999999999993"/>
    <n v="65.069999999999993"/>
    <s v="Cancelled "/>
    <s v="Jun"/>
    <n v="65.069999999999993"/>
  </r>
  <r>
    <s v="f433605f-df57-448e-8437-1fb664ceffc3"/>
    <s v="Erika Murray"/>
    <d v="2025-01-06T00:00:00"/>
    <x v="4"/>
    <x v="1"/>
    <n v="8"/>
    <n v="159.71"/>
    <n v="1277.68"/>
    <s v="completed "/>
    <s v="Jan"/>
    <n v="159.71"/>
  </r>
  <r>
    <s v="0178ca00-3541-4890-9f0b-31c569beae14"/>
    <s v="David Navarro"/>
    <d v="2024-06-12T00:00:00"/>
    <x v="0"/>
    <x v="4"/>
    <n v="4"/>
    <n v="80.599999999999994"/>
    <n v="322.39999999999998"/>
    <s v="Cancelled "/>
    <s v="Jun"/>
    <n v="80.599999999999994"/>
  </r>
  <r>
    <s v="b5c32579-1f1e-4b5f-848a-2338aad63831"/>
    <s v="Robert Lopez"/>
    <d v="2025-01-08T00:00:00"/>
    <x v="0"/>
    <x v="4"/>
    <m/>
    <n v="42.4"/>
    <m/>
    <s v="Completed"/>
    <s v="Jan"/>
    <s v=""/>
  </r>
  <r>
    <s v="b486dfcf-ddd8-4049-b8e3-74fe5b1e8005"/>
    <s v="Joann Munoz"/>
    <d v="2025-02-11T00:00:00"/>
    <x v="0"/>
    <x v="0"/>
    <m/>
    <n v="106.72"/>
    <m/>
    <s v="Cancelled "/>
    <s v="Feb"/>
    <s v=""/>
  </r>
  <r>
    <s v="f9475aff-d2ef-4658-a166-862508711e24"/>
    <s v="Jacob Mcdonald"/>
    <d v="2023-11-25T00:00:00"/>
    <x v="4"/>
    <x v="1"/>
    <n v="4"/>
    <n v="18.579999999999998"/>
    <n v="74.319999999999993"/>
    <s v="Cancelled "/>
    <s v="Nov"/>
    <n v="18.579999999999998"/>
  </r>
  <r>
    <s v="d1f8862b-a447-4c01-a6e5-6aacddea6267"/>
    <s v="Joseph Elliott"/>
    <d v="2023-07-02T00:00:00"/>
    <x v="0"/>
    <x v="1"/>
    <m/>
    <n v="167.17"/>
    <m/>
    <s v="In-Progress"/>
    <s v="Jul"/>
    <s v=""/>
  </r>
  <r>
    <s v="b04a0022-3090-442d-98fe-a2757e2e83d3"/>
    <s v="Ariel Benson"/>
    <d v="2024-03-18T00:00:00"/>
    <x v="4"/>
    <x v="2"/>
    <m/>
    <n v="100.43"/>
    <m/>
    <s v="in progress"/>
    <s v="Mar"/>
    <s v=""/>
  </r>
  <r>
    <s v="a2845cfb-488a-47ff-b569-ca882ef95416"/>
    <s v="Glenn Mckinney"/>
    <d v="2023-07-13T00:00:00"/>
    <x v="2"/>
    <x v="3"/>
    <n v="4"/>
    <n v="139.57"/>
    <n v="558.28"/>
    <s v="in progress"/>
    <s v="Jul"/>
    <n v="139.57"/>
  </r>
  <r>
    <s v="80d59593-09f2-44d4-90eb-13141ef035c5"/>
    <s v="Pamela Payne"/>
    <d v="2024-03-07T00:00:00"/>
    <x v="0"/>
    <x v="4"/>
    <m/>
    <n v="187.71"/>
    <m/>
    <s v="completed "/>
    <s v="Mar"/>
    <s v=""/>
  </r>
  <r>
    <s v="82b47ec8-06a9-4b35-a2b8-751998fac5df"/>
    <s v="Sharon Wilson"/>
    <d v="2023-05-08T00:00:00"/>
    <x v="1"/>
    <x v="1"/>
    <m/>
    <n v="87.17"/>
    <m/>
    <s v="CANCELLED"/>
    <s v="May"/>
    <s v=""/>
  </r>
  <r>
    <s v="53a90212-3898-4942-86f8-c4b6ab0e94a5"/>
    <s v="Eric Bentley"/>
    <d v="2024-02-01T00:00:00"/>
    <x v="3"/>
    <x v="1"/>
    <n v="3"/>
    <n v="82.62"/>
    <n v="247.86"/>
    <s v="in progress"/>
    <s v="Feb"/>
    <n v="82.62"/>
  </r>
  <r>
    <s v="5fd5550d-8d25-4fa3-98da-fea32c2208e8"/>
    <s v="Jason Evans"/>
    <d v="2023-11-03T00:00:00"/>
    <x v="2"/>
    <x v="0"/>
    <m/>
    <n v="164.44"/>
    <m/>
    <s v="Completed"/>
    <s v="Nov"/>
    <s v=""/>
  </r>
  <r>
    <s v="24ac0f6c-4c91-40fe-8f74-ec3199ad0af6"/>
    <s v="Gloria Christensen"/>
    <d v="2024-07-24T00:00:00"/>
    <x v="4"/>
    <x v="0"/>
    <m/>
    <n v="11.74"/>
    <m/>
    <s v="in progress"/>
    <s v="Jul"/>
    <s v=""/>
  </r>
  <r>
    <s v="cfa0147a-3259-4cb5-b3dd-29c3887ef454"/>
    <s v="Christopher Nguyen"/>
    <d v="2024-12-16T00:00:00"/>
    <x v="0"/>
    <x v="2"/>
    <n v="2"/>
    <n v="175.84"/>
    <n v="351.68"/>
    <s v="Completed"/>
    <s v="Dec"/>
    <n v="175.84"/>
  </r>
  <r>
    <s v="60375b03-fbd8-4058-ae31-013f050582de"/>
    <s v="Connor Stone"/>
    <d v="2023-12-10T00:00:00"/>
    <x v="0"/>
    <x v="2"/>
    <n v="2"/>
    <n v="49.96"/>
    <n v="99.92"/>
    <s v="Cancelled "/>
    <s v="Dec"/>
    <n v="49.96"/>
  </r>
  <r>
    <s v="f299df47-4ced-4e13-a25b-8be98f40a34d"/>
    <s v="Loretta Blackwell"/>
    <d v="2024-03-30T00:00:00"/>
    <x v="4"/>
    <x v="4"/>
    <m/>
    <n v="145.59"/>
    <m/>
    <s v="In-Progress"/>
    <s v="Mar"/>
    <s v=""/>
  </r>
  <r>
    <s v="149d2b10-b14b-47c6-9952-b5b8ee9e4025"/>
    <s v="Timothy Morris"/>
    <d v="2025-01-16T00:00:00"/>
    <x v="3"/>
    <x v="1"/>
    <m/>
    <n v="164.47"/>
    <m/>
    <s v="Completed"/>
    <s v="Jan"/>
    <s v=""/>
  </r>
  <r>
    <s v="78bbdebd-f277-4788-a1db-c657fb691da4"/>
    <s v="James Newman"/>
    <d v="2024-11-23T00:00:00"/>
    <x v="0"/>
    <x v="4"/>
    <m/>
    <n v="135.11000000000001"/>
    <m/>
    <s v="In-Progress"/>
    <s v="Nov"/>
    <s v=""/>
  </r>
  <r>
    <s v="3a299987-776c-4740-a9f1-ee37c6fc5cfd"/>
    <s v="Sean Harvey"/>
    <d v="2023-12-06T00:00:00"/>
    <x v="2"/>
    <x v="2"/>
    <n v="4"/>
    <n v="169.01"/>
    <n v="676.04"/>
    <s v="In-Progress"/>
    <s v="Dec"/>
    <n v="169.01"/>
  </r>
  <r>
    <s v="fe62a6ec-ba5d-40be-95d4-22d9a45126a9"/>
    <s v="Matthew Coleman"/>
    <d v="2025-03-21T00:00:00"/>
    <x v="0"/>
    <x v="2"/>
    <n v="1"/>
    <n v="53.77"/>
    <n v="53.77"/>
    <s v="completed "/>
    <s v="Mar"/>
    <n v="53.77"/>
  </r>
  <r>
    <s v="50fd0448-845d-4e36-a5e7-66116ac1974a"/>
    <s v="Sharon Brown"/>
    <d v="2023-05-05T00:00:00"/>
    <x v="2"/>
    <x v="2"/>
    <n v="4"/>
    <n v="192.8"/>
    <n v="771.2"/>
    <s v="Completed"/>
    <s v="May"/>
    <n v="192.8"/>
  </r>
  <r>
    <s v="c3ab9464-21f5-428f-8744-0980f9d271eb"/>
    <s v="Andrea Mcdonald"/>
    <d v="2024-04-27T00:00:00"/>
    <x v="3"/>
    <x v="0"/>
    <m/>
    <n v="80.72"/>
    <m/>
    <s v="completed "/>
    <s v="Apr"/>
    <s v=""/>
  </r>
  <r>
    <s v="e3448515-54d2-4b95-a8e2-2dfd92e349f7"/>
    <s v="Anna Mclaughlin"/>
    <d v="2024-03-17T00:00:00"/>
    <x v="0"/>
    <x v="4"/>
    <m/>
    <n v="46.25"/>
    <m/>
    <s v="Cancelled "/>
    <s v="Mar"/>
    <s v=""/>
  </r>
  <r>
    <s v="a45ad2ed-6ed3-4f0d-96db-8ab24329fef7"/>
    <s v="Daniel Andrews"/>
    <d v="2024-03-05T00:00:00"/>
    <x v="0"/>
    <x v="2"/>
    <n v="4"/>
    <n v="36.19"/>
    <n v="144.76"/>
    <s v="Cancelled "/>
    <s v="Mar"/>
    <n v="36.19"/>
  </r>
  <r>
    <s v="71d3da44-49b9-40ec-abd4-c5641b7950d6"/>
    <s v="Robert Lin"/>
    <d v="2024-11-03T00:00:00"/>
    <x v="0"/>
    <x v="2"/>
    <n v="8"/>
    <n v="177.71"/>
    <n v="1421.68"/>
    <s v="in progress"/>
    <s v="Nov"/>
    <n v="177.71"/>
  </r>
  <r>
    <s v="50c3d260-5fa4-4091-b1fe-497b5e5816c7"/>
    <s v="Barbara Hernandez"/>
    <d v="2024-10-08T00:00:00"/>
    <x v="3"/>
    <x v="0"/>
    <n v="8"/>
    <n v="23.73"/>
    <n v="189.84"/>
    <s v="completed "/>
    <s v="Oct"/>
    <n v="23.73"/>
  </r>
  <r>
    <s v="22f64dc3-f7c6-4652-894e-18dfbc7fc098"/>
    <s v="Dominique Garrett"/>
    <d v="2025-01-08T00:00:00"/>
    <x v="3"/>
    <x v="1"/>
    <n v="7"/>
    <n v="194.26"/>
    <n v="1359.82"/>
    <s v="In-Progress"/>
    <s v="Jan"/>
    <n v="194.26"/>
  </r>
  <r>
    <s v="6950820c-422a-43e2-90f4-d89ca00f61b1"/>
    <s v="Amy Johnston"/>
    <d v="2024-11-24T00:00:00"/>
    <x v="1"/>
    <x v="3"/>
    <n v="3"/>
    <n v="107.78"/>
    <n v="323.33999999999997"/>
    <s v="completed "/>
    <s v="Nov"/>
    <n v="107.77999999999999"/>
  </r>
  <r>
    <s v="f6cf8a81-5aed-4998-973b-2e88b152aff7"/>
    <s v="Noah Patel"/>
    <d v="2024-09-26T00:00:00"/>
    <x v="2"/>
    <x v="3"/>
    <m/>
    <n v="150.78"/>
    <m/>
    <s v="Cancelled "/>
    <s v="Sep"/>
    <s v=""/>
  </r>
  <r>
    <s v="dbbec498-2b6e-4331-934f-2678cb9dde1c"/>
    <s v="Kevin Johnson"/>
    <d v="2023-08-07T00:00:00"/>
    <x v="0"/>
    <x v="1"/>
    <m/>
    <n v="134.06"/>
    <m/>
    <s v="in progress"/>
    <s v="Aug"/>
    <s v=""/>
  </r>
  <r>
    <s v="1db97a62-e6d4-4ff2-ba61-ffc3d210eea1"/>
    <s v="Heather Howard"/>
    <d v="2023-11-14T00:00:00"/>
    <x v="0"/>
    <x v="2"/>
    <n v="3"/>
    <n v="193.1"/>
    <n v="579.29999999999995"/>
    <s v="Cancelled "/>
    <s v="Nov"/>
    <n v="193.1"/>
  </r>
  <r>
    <s v="bae9b429-bcf8-4948-8d81-a45ebc539fb7"/>
    <s v="Mr. Noah Bonilla"/>
    <d v="2024-06-09T00:00:00"/>
    <x v="0"/>
    <x v="0"/>
    <m/>
    <n v="28.45"/>
    <m/>
    <s v="Cancelled "/>
    <s v="Jun"/>
    <s v=""/>
  </r>
  <r>
    <s v="ad27a257-97c4-4eb4-a6ae-2b843fb41ad5"/>
    <s v="Jonathan Espinoza"/>
    <d v="2023-06-28T00:00:00"/>
    <x v="3"/>
    <x v="2"/>
    <m/>
    <n v="53.11"/>
    <m/>
    <s v="Cancelled "/>
    <s v="Jun"/>
    <s v=""/>
  </r>
  <r>
    <s v="6f984f53-7f6b-45bd-b1bd-d7064655f7dc"/>
    <s v="Elijah Myers"/>
    <d v="2023-08-01T00:00:00"/>
    <x v="1"/>
    <x v="2"/>
    <n v="6"/>
    <n v="175.2"/>
    <n v="1051.2"/>
    <s v="In-Progress"/>
    <s v="Aug"/>
    <n v="175.20000000000002"/>
  </r>
  <r>
    <s v="bae02f80-d88c-48f4-9942-e332a7a94c6c"/>
    <s v="Jessica Yates DDS"/>
    <d v="2025-03-02T00:00:00"/>
    <x v="3"/>
    <x v="3"/>
    <n v="6"/>
    <n v="41.65"/>
    <n v="249.9"/>
    <s v="in progress"/>
    <s v="Mar"/>
    <n v="41.65"/>
  </r>
  <r>
    <s v="17f1a2df-5578-420a-85d0-1a3b3ebad7b1"/>
    <s v="Tammie Gomez"/>
    <d v="2024-08-27T00:00:00"/>
    <x v="0"/>
    <x v="1"/>
    <m/>
    <n v="159"/>
    <m/>
    <s v="Cancelled "/>
    <s v="Aug"/>
    <s v=""/>
  </r>
  <r>
    <s v="60fbebdf-a8f0-425f-862e-be4ac8a07a76"/>
    <s v="Allison Sanders"/>
    <d v="2023-08-01T00:00:00"/>
    <x v="0"/>
    <x v="1"/>
    <m/>
    <n v="191.58"/>
    <m/>
    <s v="completed "/>
    <s v="Aug"/>
    <s v=""/>
  </r>
  <r>
    <s v="24fd991e-ac5f-466e-979a-9c93fea8066f"/>
    <s v="Heather Burns"/>
    <d v="2024-03-07T00:00:00"/>
    <x v="4"/>
    <x v="1"/>
    <m/>
    <n v="173.39"/>
    <m/>
    <s v="CANCELLED"/>
    <s v="Mar"/>
    <s v=""/>
  </r>
  <r>
    <s v="78299d37-05d7-4a62-9c68-7326bf51ddc2"/>
    <s v="William Reed"/>
    <d v="2025-02-01T00:00:00"/>
    <x v="0"/>
    <x v="0"/>
    <m/>
    <n v="51.67"/>
    <m/>
    <s v="Completed"/>
    <s v="Feb"/>
    <s v=""/>
  </r>
  <r>
    <s v="69737ecd-4e77-405f-9618-f491e26fc574"/>
    <s v="Louis Fisher"/>
    <d v="2024-02-02T00:00:00"/>
    <x v="2"/>
    <x v="0"/>
    <m/>
    <n v="96.47"/>
    <m/>
    <s v="In-Progress"/>
    <s v="Feb"/>
    <s v=""/>
  </r>
  <r>
    <s v="5d64731d-25ed-4c55-a22a-7183afdb44a1"/>
    <s v="Samantha Farrell"/>
    <d v="2023-05-11T00:00:00"/>
    <x v="2"/>
    <x v="2"/>
    <m/>
    <n v="13.62"/>
    <m/>
    <s v="In-Progress"/>
    <s v="May"/>
    <s v=""/>
  </r>
  <r>
    <s v="b59ef510-8147-4e38-9381-574c68b70f92"/>
    <s v="Kevin Wallace"/>
    <d v="2024-10-14T00:00:00"/>
    <x v="1"/>
    <x v="0"/>
    <m/>
    <n v="196.82"/>
    <m/>
    <s v="in progress"/>
    <s v="Oct"/>
    <s v=""/>
  </r>
  <r>
    <s v="c4b59eac-9084-420a-a00b-98c590edd06a"/>
    <s v="Amanda Grant"/>
    <d v="2023-12-25T00:00:00"/>
    <x v="4"/>
    <x v="4"/>
    <n v="1"/>
    <n v="168.76"/>
    <n v="168.76"/>
    <s v="In-Progress"/>
    <s v="Dec"/>
    <n v="168.76"/>
  </r>
  <r>
    <s v="cdc32ec8-e1b3-4b81-8bba-74b93621453b"/>
    <s v="Laura Smith"/>
    <d v="2023-10-29T00:00:00"/>
    <x v="3"/>
    <x v="4"/>
    <n v="5"/>
    <n v="57.11"/>
    <n v="285.55"/>
    <s v="CANCELLED"/>
    <s v="Oct"/>
    <n v="57.11"/>
  </r>
  <r>
    <s v="95c661fb-4667-4c19-96a2-ca4c2ef9afae"/>
    <s v="Steven Sanchez"/>
    <d v="2024-09-28T00:00:00"/>
    <x v="0"/>
    <x v="3"/>
    <m/>
    <n v="63.87"/>
    <m/>
    <s v="completed "/>
    <s v="Sep"/>
    <s v=""/>
  </r>
  <r>
    <s v="cd72d738-570f-4919-85d2-d4783443bd25"/>
    <s v="Kenneth White"/>
    <d v="2025-02-09T00:00:00"/>
    <x v="0"/>
    <x v="3"/>
    <m/>
    <n v="52.84"/>
    <m/>
    <s v="in progress"/>
    <s v="Feb"/>
    <s v=""/>
  </r>
  <r>
    <s v="ec3fc0ed-f373-4b43-b25e-057b5d45b0a8"/>
    <s v="Lauren Tate"/>
    <d v="2023-08-25T00:00:00"/>
    <x v="2"/>
    <x v="1"/>
    <m/>
    <n v="117.65"/>
    <m/>
    <s v="Completed"/>
    <s v="Aug"/>
    <s v=""/>
  </r>
  <r>
    <s v="8bc25a11-bb82-4683-adbb-9b47ffc5a853"/>
    <s v="Amy Brown"/>
    <d v="2023-10-14T00:00:00"/>
    <x v="0"/>
    <x v="4"/>
    <n v="1"/>
    <n v="126.48"/>
    <n v="126.48"/>
    <s v="In-Progress"/>
    <s v="Oct"/>
    <n v="126.48"/>
  </r>
  <r>
    <s v="2901e391-d895-4c6c-ba39-cec7a6430af9"/>
    <s v="Tina Rojas"/>
    <d v="2025-03-16T00:00:00"/>
    <x v="0"/>
    <x v="4"/>
    <m/>
    <n v="135.75"/>
    <m/>
    <s v="completed "/>
    <s v="Mar"/>
    <s v=""/>
  </r>
  <r>
    <s v="f1202eb8-d1bd-40f5-bf46-339f90e236e4"/>
    <s v="Pamela Rodriguez"/>
    <d v="2023-12-12T00:00:00"/>
    <x v="0"/>
    <x v="1"/>
    <n v="5"/>
    <n v="21.05"/>
    <n v="105.25"/>
    <s v="Completed"/>
    <s v="Dec"/>
    <n v="21.05"/>
  </r>
  <r>
    <s v="7b91af5c-72ac-44b8-8c9b-85d9ef272ab3"/>
    <s v="William Phillips"/>
    <d v="2025-04-09T00:00:00"/>
    <x v="3"/>
    <x v="1"/>
    <m/>
    <n v="149.25"/>
    <m/>
    <s v="Completed"/>
    <s v="Apr"/>
    <s v=""/>
  </r>
  <r>
    <s v="35588597-1098-494e-ab45-562dc48bc4dc"/>
    <s v="Corey Evans"/>
    <d v="2024-12-26T00:00:00"/>
    <x v="0"/>
    <x v="0"/>
    <n v="3"/>
    <n v="167.99"/>
    <n v="503.97"/>
    <s v="Cancelled "/>
    <s v="Dec"/>
    <n v="167.99"/>
  </r>
  <r>
    <s v="b8ee75ae-2174-4257-91e7-5e58ec6c52e5"/>
    <s v="Donna Carpenter"/>
    <d v="2025-04-16T00:00:00"/>
    <x v="0"/>
    <x v="1"/>
    <m/>
    <n v="186.23"/>
    <m/>
    <s v="Cancelled "/>
    <s v="Apr"/>
    <s v=""/>
  </r>
  <r>
    <s v="18e2044a-fb69-4e49-a682-158255c147d2"/>
    <s v="James Carrillo"/>
    <d v="2025-02-24T00:00:00"/>
    <x v="0"/>
    <x v="4"/>
    <n v="5"/>
    <n v="162.63999999999999"/>
    <n v="813.2"/>
    <s v="in progress"/>
    <s v="Feb"/>
    <n v="162.64000000000001"/>
  </r>
  <r>
    <s v="99352e09-2d08-457d-9059-1c119b90db3a"/>
    <s v="Elizabeth Johnson"/>
    <d v="2024-11-08T00:00:00"/>
    <x v="4"/>
    <x v="1"/>
    <m/>
    <n v="187.11"/>
    <m/>
    <s v="in progress"/>
    <s v="Nov"/>
    <s v=""/>
  </r>
  <r>
    <s v="14d9941f-6602-41ce-ae38-44cf519db509"/>
    <s v="Victoria Haney"/>
    <d v="2023-07-16T00:00:00"/>
    <x v="0"/>
    <x v="4"/>
    <n v="1"/>
    <n v="163.1"/>
    <n v="163.1"/>
    <s v="in progress"/>
    <s v="Jul"/>
    <n v="163.1"/>
  </r>
  <r>
    <s v="59518528-b658-4516-a6d7-65fa8a7c954b"/>
    <s v="Margaret Carter"/>
    <d v="2024-03-21T00:00:00"/>
    <x v="0"/>
    <x v="4"/>
    <n v="5"/>
    <n v="108.22"/>
    <n v="541.1"/>
    <s v="completed "/>
    <s v="Mar"/>
    <n v="108.22"/>
  </r>
  <r>
    <s v="e92eae89-27b2-4dcc-996a-871a512093a4"/>
    <s v="Mason Moran"/>
    <d v="2023-08-20T00:00:00"/>
    <x v="2"/>
    <x v="4"/>
    <m/>
    <n v="179.73"/>
    <m/>
    <s v="CANCELLED"/>
    <s v="Aug"/>
    <s v=""/>
  </r>
  <r>
    <s v="49ba4c08-6c0f-4bbb-9bb4-020df5658b90"/>
    <s v="Jennifer Hudson"/>
    <d v="2023-11-07T00:00:00"/>
    <x v="3"/>
    <x v="4"/>
    <m/>
    <n v="61.9"/>
    <m/>
    <s v="Cancelled "/>
    <s v="Nov"/>
    <s v=""/>
  </r>
  <r>
    <s v="732e7f1d-a541-41f2-97b9-8fc166e3f075"/>
    <s v="Eric Stone"/>
    <d v="2023-10-06T00:00:00"/>
    <x v="0"/>
    <x v="1"/>
    <m/>
    <n v="25.07"/>
    <m/>
    <s v="completed "/>
    <s v="Oct"/>
    <s v=""/>
  </r>
  <r>
    <s v="dd6d7bc9-50ca-4380-bc02-90af91fcda49"/>
    <s v="Ruben Spears"/>
    <d v="2024-05-13T00:00:00"/>
    <x v="0"/>
    <x v="2"/>
    <n v="5"/>
    <n v="82.51"/>
    <n v="412.55"/>
    <s v="in progress"/>
    <s v="May"/>
    <n v="82.51"/>
  </r>
  <r>
    <s v="f85fa0b9-416a-4e3b-b40a-41c15348b56d"/>
    <s v="Tammie Green"/>
    <d v="2024-01-30T00:00:00"/>
    <x v="1"/>
    <x v="3"/>
    <n v="7"/>
    <n v="168.75"/>
    <m/>
    <s v="in progress"/>
    <s v="Jan"/>
    <s v=""/>
  </r>
  <r>
    <s v="514072a2-95ed-4f8f-8fb3-e5d67973977b"/>
    <s v="Michelle Smith"/>
    <d v="2023-11-05T00:00:00"/>
    <x v="3"/>
    <x v="1"/>
    <n v="1"/>
    <n v="179.47"/>
    <n v="179.47"/>
    <s v="CANCELLED"/>
    <s v="Nov"/>
    <n v="179.47"/>
  </r>
  <r>
    <s v="beac0cde-fe94-4f70-99dd-e2152efb175e"/>
    <s v="Megan Smith"/>
    <d v="2024-03-28T00:00:00"/>
    <x v="0"/>
    <x v="0"/>
    <m/>
    <n v="58.26"/>
    <m/>
    <s v="completed "/>
    <s v="Mar"/>
    <s v=""/>
  </r>
  <r>
    <s v="e27c1997-ee8c-4233-87e3-a5ae48d06bf6"/>
    <s v="Melanie Lewis"/>
    <d v="2023-10-08T00:00:00"/>
    <x v="2"/>
    <x v="0"/>
    <n v="2"/>
    <n v="166.44"/>
    <n v="332.88"/>
    <s v="Cancelled "/>
    <s v="Oct"/>
    <n v="166.44"/>
  </r>
  <r>
    <s v="decfe251-fc14-486d-9205-96877fce932b"/>
    <s v="Alex Simmons"/>
    <d v="2024-10-09T00:00:00"/>
    <x v="2"/>
    <x v="0"/>
    <m/>
    <n v="121.75"/>
    <m/>
    <s v="CANCELLED"/>
    <s v="Oct"/>
    <s v=""/>
  </r>
  <r>
    <s v="19129543-e5b6-4e8e-a021-8b889e9a96cc"/>
    <s v="Laura Vega"/>
    <d v="2024-06-06T00:00:00"/>
    <x v="3"/>
    <x v="4"/>
    <m/>
    <n v="24.93"/>
    <m/>
    <s v="Completed"/>
    <s v="Jun"/>
    <s v=""/>
  </r>
  <r>
    <s v="6f3c790f-7b0a-4ad6-99d6-7180441cdb82"/>
    <s v="Drew Watson MD"/>
    <d v="2025-04-17T00:00:00"/>
    <x v="2"/>
    <x v="3"/>
    <n v="3"/>
    <n v="110.75"/>
    <n v="332.25"/>
    <s v="In-Progress"/>
    <s v="Apr"/>
    <n v="110.75"/>
  </r>
  <r>
    <s v="14a99036-b3ad-467e-9097-39f2ab51147e"/>
    <s v="Timothy Petty"/>
    <d v="2024-04-10T00:00:00"/>
    <x v="3"/>
    <x v="2"/>
    <n v="8"/>
    <n v="112.7"/>
    <n v="901.6"/>
    <s v="In-Progress"/>
    <s v="Apr"/>
    <n v="112.7"/>
  </r>
  <r>
    <s v="e53ae952-8785-4ba5-a621-f2922e137225"/>
    <s v="Jason Harrison"/>
    <d v="2024-12-09T00:00:00"/>
    <x v="3"/>
    <x v="1"/>
    <m/>
    <n v="117.6"/>
    <m/>
    <s v="Cancelled "/>
    <s v="Dec"/>
    <s v=""/>
  </r>
  <r>
    <s v="989c9087-40a1-48f1-84bd-f9204175c028"/>
    <s v="Jermaine Sims"/>
    <d v="2024-05-15T00:00:00"/>
    <x v="4"/>
    <x v="0"/>
    <m/>
    <n v="33.42"/>
    <m/>
    <s v="in progress"/>
    <s v="May"/>
    <s v=""/>
  </r>
  <r>
    <s v="8c91d233-a733-4025-91bc-5122bfe240be"/>
    <s v="Angelica Richardson"/>
    <d v="2025-03-13T00:00:00"/>
    <x v="0"/>
    <x v="0"/>
    <n v="6"/>
    <n v="187.2"/>
    <n v="1123.2"/>
    <s v="In-Progress"/>
    <s v="Mar"/>
    <n v="187.20000000000002"/>
  </r>
  <r>
    <s v="df9cac32-c413-4887-912e-bad36f491feb"/>
    <s v="George Hall"/>
    <d v="2024-05-03T00:00:00"/>
    <x v="4"/>
    <x v="1"/>
    <n v="7"/>
    <n v="60.56"/>
    <n v="423.92"/>
    <s v="in progress"/>
    <s v="May"/>
    <n v="60.56"/>
  </r>
  <r>
    <s v="72c1fd7f-00f9-4d76-a818-3fb2072f5837"/>
    <s v="Hannah Torres"/>
    <d v="2025-02-23T00:00:00"/>
    <x v="4"/>
    <x v="4"/>
    <m/>
    <n v="36.200000000000003"/>
    <m/>
    <s v="completed "/>
    <s v="Feb"/>
    <s v=""/>
  </r>
  <r>
    <s v="595fc3e0-20ba-4cb8-a766-c6cebd2de888"/>
    <s v="Brittany Jackson"/>
    <d v="2024-01-01T00:00:00"/>
    <x v="0"/>
    <x v="1"/>
    <n v="2"/>
    <n v="38.82"/>
    <n v="77.64"/>
    <s v="In-Progress"/>
    <s v="Jan"/>
    <n v="38.82"/>
  </r>
  <r>
    <s v="d65aba7f-8d06-44d4-8939-bd9e222e5e68"/>
    <s v="Zachary Moreno"/>
    <d v="2025-04-30T00:00:00"/>
    <x v="1"/>
    <x v="2"/>
    <n v="1"/>
    <n v="93.05"/>
    <n v="93.05"/>
    <s v="in progress"/>
    <s v="Apr"/>
    <n v="93.05"/>
  </r>
  <r>
    <s v="aa9ec8b8-173a-4d01-8f09-648977f92874"/>
    <s v="Mrs. Tiffany Ferguson DDS"/>
    <d v="2023-06-01T00:00:00"/>
    <x v="0"/>
    <x v="0"/>
    <n v="8"/>
    <n v="155.91999999999999"/>
    <n v="1247.3599999999999"/>
    <s v="CANCELLED"/>
    <s v="Jun"/>
    <n v="155.91999999999999"/>
  </r>
  <r>
    <s v="61bfa804-6794-4b1b-bda9-846e399f46d4"/>
    <s v="Patricia Oneill"/>
    <d v="2024-08-08T00:00:00"/>
    <x v="1"/>
    <x v="0"/>
    <m/>
    <n v="116.17"/>
    <m/>
    <s v="in progress"/>
    <s v="Aug"/>
    <s v=""/>
  </r>
  <r>
    <s v="78384c9a-0a7d-4183-834a-dc84c7abddbf"/>
    <s v="Kristin Stokes"/>
    <d v="2025-04-22T00:00:00"/>
    <x v="0"/>
    <x v="4"/>
    <n v="9"/>
    <n v="33.43"/>
    <n v="300.87"/>
    <s v="completed "/>
    <s v="Apr"/>
    <n v="33.43"/>
  </r>
  <r>
    <s v="47604489-54af-4aaa-8322-b13073b338f6"/>
    <s v="Jordan Banks"/>
    <d v="2024-07-10T00:00:00"/>
    <x v="4"/>
    <x v="4"/>
    <m/>
    <n v="66.17"/>
    <m/>
    <s v="Completed"/>
    <s v="Jul"/>
    <s v=""/>
  </r>
  <r>
    <s v="0fb7fc70-0198-488f-9bfd-5cefc28bab2b"/>
    <s v="Troy Arias"/>
    <d v="2024-04-21T00:00:00"/>
    <x v="1"/>
    <x v="0"/>
    <n v="7"/>
    <n v="192.59"/>
    <n v="1348.13"/>
    <s v="completed "/>
    <s v="Apr"/>
    <n v="192.59"/>
  </r>
  <r>
    <s v="543e418e-d86c-416b-925d-73fa5a2687fe"/>
    <s v="Nicholas Clark"/>
    <d v="2024-12-31T00:00:00"/>
    <x v="1"/>
    <x v="3"/>
    <m/>
    <n v="159.91999999999999"/>
    <m/>
    <s v="Completed"/>
    <s v="Dec"/>
    <s v=""/>
  </r>
  <r>
    <s v="2f195602-dffc-433f-a825-c19a06a38197"/>
    <s v="Joel Allen"/>
    <d v="2024-04-04T00:00:00"/>
    <x v="0"/>
    <x v="4"/>
    <n v="3"/>
    <n v="65.2"/>
    <m/>
    <s v="Completed"/>
    <s v="Apr"/>
    <s v=""/>
  </r>
  <r>
    <s v="c8fcd4db-0652-4958-b929-0dc6b0a38063"/>
    <s v="Melissa Hall"/>
    <d v="2023-08-29T00:00:00"/>
    <x v="0"/>
    <x v="3"/>
    <n v="2"/>
    <n v="134.71"/>
    <n v="269.42"/>
    <s v="In-Progress"/>
    <s v="Aug"/>
    <n v="134.71"/>
  </r>
  <r>
    <s v="7c383e0c-3925-4a78-8b63-80607bb23277"/>
    <s v="Jonathan Gibson"/>
    <d v="2025-04-09T00:00:00"/>
    <x v="4"/>
    <x v="2"/>
    <m/>
    <n v="59.52"/>
    <m/>
    <s v="completed "/>
    <s v="Apr"/>
    <s v=""/>
  </r>
  <r>
    <s v="e6581338-5ae0-429d-8739-ab137589fbac"/>
    <s v="Nathan Schneider"/>
    <d v="2024-12-19T00:00:00"/>
    <x v="2"/>
    <x v="4"/>
    <n v="8"/>
    <n v="124.02"/>
    <n v="992.16"/>
    <s v="completed "/>
    <s v="Dec"/>
    <n v="124.02"/>
  </r>
  <r>
    <s v="d94c1c20-bca4-4bbd-8be4-966ef94333fd"/>
    <s v="Nancy Lee"/>
    <d v="2023-09-07T00:00:00"/>
    <x v="0"/>
    <x v="3"/>
    <n v="7"/>
    <n v="29.66"/>
    <n v="207.62"/>
    <s v="In-Progress"/>
    <s v="Sep"/>
    <n v="29.66"/>
  </r>
  <r>
    <s v="2b5216b1-bc01-4b97-b1ed-6f039836fa35"/>
    <s v="Kimberly Griffin"/>
    <d v="2024-12-09T00:00:00"/>
    <x v="1"/>
    <x v="2"/>
    <n v="9"/>
    <n v="160.82"/>
    <n v="1447.38"/>
    <s v="in progress"/>
    <s v="Dec"/>
    <n v="160.82000000000002"/>
  </r>
  <r>
    <s v="7f4596b8-99d1-40bb-baf1-90af0d47e861"/>
    <s v="Carolyn Vega"/>
    <d v="2023-06-13T00:00:00"/>
    <x v="4"/>
    <x v="4"/>
    <m/>
    <n v="30.65"/>
    <m/>
    <s v="Completed"/>
    <s v="Jun"/>
    <s v=""/>
  </r>
  <r>
    <s v="84ea42b9-76de-4373-8e93-cf916de83f25"/>
    <s v="Dennis Mclaughlin"/>
    <d v="2024-04-03T00:00:00"/>
    <x v="0"/>
    <x v="4"/>
    <n v="4"/>
    <n v="36.72"/>
    <n v="146.88"/>
    <s v="Cancelled "/>
    <s v="Apr"/>
    <n v="36.72"/>
  </r>
  <r>
    <s v="728eb627-b400-415f-bb88-de31cacc83c4"/>
    <s v="Matthew Ferguson"/>
    <d v="2025-04-27T00:00:00"/>
    <x v="0"/>
    <x v="3"/>
    <n v="1"/>
    <n v="34.340000000000003"/>
    <n v="34.340000000000003"/>
    <s v="in progress"/>
    <s v="Apr"/>
    <n v="34.340000000000003"/>
  </r>
  <r>
    <s v="6bf8aae5-60ce-42b1-8914-01c1321dcecb"/>
    <s v="David Carter"/>
    <d v="2023-10-05T00:00:00"/>
    <x v="4"/>
    <x v="4"/>
    <m/>
    <n v="163.44999999999999"/>
    <m/>
    <s v="In-Progress"/>
    <s v="Oct"/>
    <s v=""/>
  </r>
  <r>
    <s v="beecbf0f-977e-4f71-9865-a2d9b5e3158d"/>
    <s v="Gregory Cooke"/>
    <d v="2024-08-10T00:00:00"/>
    <x v="0"/>
    <x v="0"/>
    <m/>
    <n v="40.630000000000003"/>
    <m/>
    <s v="completed "/>
    <s v="Aug"/>
    <s v=""/>
  </r>
  <r>
    <s v="329a33de-96f5-4deb-bd31-3d24870a5346"/>
    <s v="Andrew Walker"/>
    <d v="2025-03-15T00:00:00"/>
    <x v="2"/>
    <x v="2"/>
    <m/>
    <n v="188.41"/>
    <m/>
    <s v="In-Progress"/>
    <s v="Mar"/>
    <s v=""/>
  </r>
  <r>
    <s v="b769dd76-d89b-4872-9164-bad9bfa4f8ab"/>
    <s v="Jon Smith"/>
    <d v="2023-09-07T00:00:00"/>
    <x v="3"/>
    <x v="4"/>
    <m/>
    <n v="10.08"/>
    <m/>
    <s v="In-Progress"/>
    <s v="Sep"/>
    <s v=""/>
  </r>
  <r>
    <s v="000ab947-f2bc-490d-833f-b10cc9257853"/>
    <s v="Shannon Johnson"/>
    <d v="2023-12-18T00:00:00"/>
    <x v="4"/>
    <x v="0"/>
    <m/>
    <n v="180.26"/>
    <m/>
    <s v="CANCELLED"/>
    <s v="Dec"/>
    <s v=""/>
  </r>
  <r>
    <s v="773b21fd-e2cd-4b52-b58e-aa48fde64c67"/>
    <s v="Kelly Sawyer"/>
    <d v="2024-04-09T00:00:00"/>
    <x v="4"/>
    <x v="0"/>
    <m/>
    <n v="138.07"/>
    <m/>
    <s v="In-Progress"/>
    <s v="Apr"/>
    <s v=""/>
  </r>
  <r>
    <s v="3411066b-4ed6-4389-bd74-1196e4dbe164"/>
    <s v="Johnny Valdez"/>
    <d v="2024-02-26T00:00:00"/>
    <x v="2"/>
    <x v="4"/>
    <m/>
    <n v="166.79"/>
    <m/>
    <s v="In-Progress"/>
    <s v="Feb"/>
    <s v=""/>
  </r>
  <r>
    <s v="b3375102-809f-4e80-ba78-6e89e7ec7515"/>
    <s v="Kathy Friedman"/>
    <d v="2023-07-18T00:00:00"/>
    <x v="1"/>
    <x v="4"/>
    <m/>
    <n v="10.55"/>
    <m/>
    <s v="Completed"/>
    <s v="Jul"/>
    <s v=""/>
  </r>
  <r>
    <s v="1cf47c2d-304e-48cd-9f48-1d7d787627a3"/>
    <s v="Crystal Nichols"/>
    <d v="2024-11-08T00:00:00"/>
    <x v="0"/>
    <x v="2"/>
    <m/>
    <n v="108.94"/>
    <m/>
    <s v="in progress"/>
    <s v="Nov"/>
    <s v=""/>
  </r>
  <r>
    <s v="71f286b5-9fe5-4b55-9040-e7fa2a916299"/>
    <s v="Amanda Stewart"/>
    <d v="2023-12-30T00:00:00"/>
    <x v="2"/>
    <x v="3"/>
    <n v="6"/>
    <n v="183.65"/>
    <n v="1101.9000000000001"/>
    <s v="Completed"/>
    <s v="Dec"/>
    <n v="183.65"/>
  </r>
  <r>
    <s v="9937a3d5-ee81-4cdd-b4dc-e93d7fc3a044"/>
    <s v="Thomas Smith"/>
    <d v="2023-08-09T00:00:00"/>
    <x v="3"/>
    <x v="3"/>
    <n v="6"/>
    <n v="88.09"/>
    <n v="528.54"/>
    <s v="CANCELLED"/>
    <s v="Aug"/>
    <n v="88.089999999999989"/>
  </r>
  <r>
    <s v="b5e64cd6-6cf2-46e3-a784-bdd17da1e65e"/>
    <s v="Randy Schroeder"/>
    <d v="2023-10-01T00:00:00"/>
    <x v="4"/>
    <x v="3"/>
    <m/>
    <n v="37.9"/>
    <m/>
    <s v="Cancelled "/>
    <s v="Oct"/>
    <s v=""/>
  </r>
  <r>
    <s v="bbd4a83f-261c-4e3f-9503-f9e954b80a89"/>
    <s v="Cody Copeland"/>
    <d v="2025-04-07T00:00:00"/>
    <x v="4"/>
    <x v="2"/>
    <n v="4"/>
    <n v="142.46"/>
    <n v="569.84"/>
    <s v="CANCELLED"/>
    <s v="Apr"/>
    <n v="142.46"/>
  </r>
  <r>
    <s v="9020a00f-7f8d-4046-8fc7-efecc83e67ed"/>
    <s v="Wendy Fischer"/>
    <d v="2023-10-26T00:00:00"/>
    <x v="4"/>
    <x v="2"/>
    <n v="6"/>
    <n v="84.81"/>
    <m/>
    <s v="CANCELLED"/>
    <s v="Oct"/>
    <s v=""/>
  </r>
  <r>
    <s v="b83bc630-e74b-4a8f-824d-c2447fd50f81"/>
    <s v="Christopher Contreras"/>
    <d v="2024-11-16T00:00:00"/>
    <x v="4"/>
    <x v="2"/>
    <m/>
    <n v="160.4"/>
    <m/>
    <s v="in progress"/>
    <s v="Nov"/>
    <s v=""/>
  </r>
  <r>
    <s v="01c68a59-7748-441f-854e-58d94f11e3ab"/>
    <s v="Joseph Saunders"/>
    <d v="2025-02-21T00:00:00"/>
    <x v="0"/>
    <x v="2"/>
    <m/>
    <n v="60.73"/>
    <m/>
    <s v="Completed"/>
    <s v="Feb"/>
    <s v=""/>
  </r>
  <r>
    <s v="489a7e64-e63f-4889-a908-54cda979f287"/>
    <s v="Joseph Gray"/>
    <d v="2024-07-21T00:00:00"/>
    <x v="0"/>
    <x v="1"/>
    <n v="1"/>
    <n v="149.18"/>
    <n v="149.18"/>
    <s v="in progress"/>
    <s v="Jul"/>
    <n v="149.18"/>
  </r>
  <r>
    <s v="a1572b07-a270-40cc-a2e6-37cb7448e10f"/>
    <s v="Kirk Mitchell"/>
    <d v="2025-05-01T00:00:00"/>
    <x v="4"/>
    <x v="0"/>
    <m/>
    <n v="31.38"/>
    <m/>
    <s v="In-Progress"/>
    <s v="May"/>
    <s v=""/>
  </r>
  <r>
    <s v="95abce2d-4426-4b76-81c7-1eb1173727a8"/>
    <s v="Morgan Harvey"/>
    <d v="2023-12-30T00:00:00"/>
    <x v="1"/>
    <x v="3"/>
    <n v="5"/>
    <n v="167.98"/>
    <n v="839.9"/>
    <s v="Completed"/>
    <s v="Dec"/>
    <n v="167.98"/>
  </r>
  <r>
    <s v="cc2a3ef6-f693-4676-bd0d-6dd74eba21f9"/>
    <s v="Crystal Allen"/>
    <d v="2024-01-28T00:00:00"/>
    <x v="1"/>
    <x v="0"/>
    <m/>
    <n v="20.6"/>
    <m/>
    <s v="completed "/>
    <s v="Jan"/>
    <s v=""/>
  </r>
  <r>
    <s v="ac2bd9f1-30fb-4980-9cda-69ad8af90fdc"/>
    <s v="Michelle Stuart"/>
    <d v="2024-12-14T00:00:00"/>
    <x v="1"/>
    <x v="2"/>
    <n v="7"/>
    <n v="135.54"/>
    <n v="948.78"/>
    <s v="CANCELLED"/>
    <s v="Dec"/>
    <n v="135.54"/>
  </r>
  <r>
    <s v="2706e1b9-2b52-4a1d-a94e-65bf5e1ebc2f"/>
    <s v="Derek Sanchez"/>
    <d v="2024-04-14T00:00:00"/>
    <x v="3"/>
    <x v="0"/>
    <n v="4"/>
    <n v="108.57"/>
    <n v="434.28"/>
    <s v="CANCELLED"/>
    <s v="Apr"/>
    <n v="108.57"/>
  </r>
  <r>
    <s v="9c8eefde-f170-4763-8f7e-d444fc4328fc"/>
    <s v="Joshua Jones"/>
    <d v="2025-05-01T00:00:00"/>
    <x v="0"/>
    <x v="2"/>
    <n v="6"/>
    <n v="149.28"/>
    <n v="895.68"/>
    <s v="CANCELLED"/>
    <s v="May"/>
    <n v="149.28"/>
  </r>
  <r>
    <s v="59e6078e-ff52-4b4c-8d3e-eec50ed0425d"/>
    <s v="Shelly Mays"/>
    <d v="2024-01-19T00:00:00"/>
    <x v="0"/>
    <x v="2"/>
    <m/>
    <n v="141.05000000000001"/>
    <m/>
    <s v="In-Progress"/>
    <s v="Jan"/>
    <s v=""/>
  </r>
  <r>
    <s v="f18698ef-1a32-4a91-9c5f-f20b61c04f28"/>
    <s v="Ronnie Mccormick"/>
    <d v="2024-09-27T00:00:00"/>
    <x v="1"/>
    <x v="2"/>
    <m/>
    <n v="97.67"/>
    <m/>
    <s v="in progress"/>
    <s v="Sep"/>
    <s v=""/>
  </r>
  <r>
    <s v="ce134079-8ad8-4aa8-98db-ed3d9de553a5"/>
    <s v="Stephanie Murray"/>
    <d v="2023-07-19T00:00:00"/>
    <x v="0"/>
    <x v="3"/>
    <m/>
    <n v="125.53"/>
    <m/>
    <s v="CANCELLED"/>
    <s v="Jul"/>
    <s v=""/>
  </r>
  <r>
    <s v="92b2a42e-56a2-4224-80ad-df781f2eb474"/>
    <s v="Alexander Allen"/>
    <d v="2024-10-28T00:00:00"/>
    <x v="0"/>
    <x v="3"/>
    <m/>
    <n v="150.18"/>
    <m/>
    <s v="CANCELLED"/>
    <s v="Oct"/>
    <s v=""/>
  </r>
  <r>
    <s v="91d42880-435e-4868-865b-3560396d6587"/>
    <s v="Patrick Mccann"/>
    <d v="2024-07-26T00:00:00"/>
    <x v="1"/>
    <x v="1"/>
    <n v="4"/>
    <n v="142.55000000000001"/>
    <n v="570.20000000000005"/>
    <s v="Completed"/>
    <s v="Jul"/>
    <n v="142.55000000000001"/>
  </r>
  <r>
    <s v="950cedb6-ccb1-4284-bb3c-454c9e9362b9"/>
    <s v="Patricia Carpenter"/>
    <d v="2023-05-15T00:00:00"/>
    <x v="2"/>
    <x v="4"/>
    <m/>
    <n v="69.400000000000006"/>
    <m/>
    <s v="in progress"/>
    <s v="May"/>
    <s v=""/>
  </r>
  <r>
    <s v="77dc8e90-8cc5-4192-a5d7-40ea7ef97f1a"/>
    <s v="Elizabeth Taylor"/>
    <d v="2025-03-25T00:00:00"/>
    <x v="1"/>
    <x v="1"/>
    <n v="3"/>
    <n v="197.36"/>
    <n v="592.08000000000004"/>
    <s v="in progress"/>
    <s v="Mar"/>
    <n v="197.36"/>
  </r>
  <r>
    <s v="cadb0e02-28bd-42b6-869b-01f5f64ee9af"/>
    <s v="Erica Werner"/>
    <d v="2023-11-16T00:00:00"/>
    <x v="2"/>
    <x v="2"/>
    <n v="1"/>
    <n v="113.97"/>
    <n v="113.97"/>
    <s v="Completed"/>
    <s v="Nov"/>
    <n v="113.97"/>
  </r>
  <r>
    <s v="07434876-6947-4dc8-b811-5be011515cc8"/>
    <s v="Shelia King"/>
    <d v="2023-11-08T00:00:00"/>
    <x v="3"/>
    <x v="1"/>
    <n v="8"/>
    <n v="180.21"/>
    <n v="1441.68"/>
    <s v="completed "/>
    <s v="Nov"/>
    <n v="180.21"/>
  </r>
  <r>
    <s v="f7f8abb9-bc8a-4048-ac79-9f55cabe7a22"/>
    <s v="Cynthia Weaver"/>
    <d v="2023-05-15T00:00:00"/>
    <x v="4"/>
    <x v="3"/>
    <m/>
    <n v="38.840000000000003"/>
    <m/>
    <s v="in progress"/>
    <s v="May"/>
    <s v=""/>
  </r>
  <r>
    <s v="216a6e79-2b0c-46f0-8ce3-2adbe0000785"/>
    <s v="Natalie Greene"/>
    <d v="2023-07-17T00:00:00"/>
    <x v="3"/>
    <x v="0"/>
    <n v="7"/>
    <n v="103.17"/>
    <n v="722.19"/>
    <s v="Cancelled "/>
    <s v="Jul"/>
    <n v="103.17"/>
  </r>
  <r>
    <s v="2c391e37-e9af-444f-b9f2-67671840ef5d"/>
    <s v="Gabriela Brown"/>
    <d v="2023-08-13T00:00:00"/>
    <x v="4"/>
    <x v="0"/>
    <m/>
    <n v="175.22"/>
    <m/>
    <s v="Completed"/>
    <s v="Aug"/>
    <s v=""/>
  </r>
  <r>
    <s v="2a1000f7-5372-4dff-8654-1f42358a704f"/>
    <s v="Wanda Murphy"/>
    <d v="2023-11-27T00:00:00"/>
    <x v="3"/>
    <x v="4"/>
    <m/>
    <n v="100.78"/>
    <m/>
    <s v="in progress"/>
    <s v="Nov"/>
    <s v=""/>
  </r>
  <r>
    <s v="c030102f-793b-4fc0-a0ea-e28f180286ac"/>
    <s v="Joann Garner"/>
    <d v="2024-01-06T00:00:00"/>
    <x v="1"/>
    <x v="4"/>
    <m/>
    <n v="103.45"/>
    <m/>
    <s v="Cancelled "/>
    <s v="Jan"/>
    <s v=""/>
  </r>
  <r>
    <s v="cfb33eb3-5e8f-43b5-9fe2-8781e14c37d2"/>
    <s v="Mr. Kenneth Green"/>
    <d v="2024-03-16T00:00:00"/>
    <x v="3"/>
    <x v="3"/>
    <n v="9"/>
    <n v="189.17"/>
    <n v="1702.53"/>
    <s v="Cancelled "/>
    <s v="Mar"/>
    <n v="189.17"/>
  </r>
  <r>
    <s v="64fecc65-95d5-4ba2-bb25-ecf6757b9e11"/>
    <s v="Shannon Baker"/>
    <d v="2024-02-01T00:00:00"/>
    <x v="2"/>
    <x v="2"/>
    <n v="5"/>
    <n v="190.71"/>
    <n v="953.55"/>
    <s v="Cancelled "/>
    <s v="Feb"/>
    <n v="190.70999999999998"/>
  </r>
  <r>
    <s v="4c19dd4b-fdc8-4c9b-b945-fa160fff01d6"/>
    <s v="Tracy Mejia"/>
    <d v="2025-04-03T00:00:00"/>
    <x v="1"/>
    <x v="2"/>
    <n v="1"/>
    <n v="145.97999999999999"/>
    <n v="145.97999999999999"/>
    <s v="in progress"/>
    <s v="Apr"/>
    <n v="145.97999999999999"/>
  </r>
  <r>
    <s v="86d400c1-4e0b-49a1-babc-47b3e7de3f55"/>
    <s v="John Kelley"/>
    <d v="2023-07-19T00:00:00"/>
    <x v="1"/>
    <x v="1"/>
    <n v="1"/>
    <n v="63.99"/>
    <n v="63.99"/>
    <s v="in progress"/>
    <s v="Jul"/>
    <n v="63.99"/>
  </r>
  <r>
    <s v="ffdffbbd-e060-4ad3-818b-71420ba092c7"/>
    <s v="Alan Gibbs"/>
    <d v="2024-12-29T00:00:00"/>
    <x v="1"/>
    <x v="4"/>
    <m/>
    <n v="48.85"/>
    <m/>
    <s v="In-Progress"/>
    <s v="Dec"/>
    <s v=""/>
  </r>
  <r>
    <s v="3b53988e-1772-46d1-b354-1e0e645dd928"/>
    <s v="Theresa Guerra"/>
    <d v="2024-10-22T00:00:00"/>
    <x v="0"/>
    <x v="1"/>
    <m/>
    <n v="60.84"/>
    <m/>
    <s v="CANCELLED"/>
    <s v="Oct"/>
    <s v=""/>
  </r>
  <r>
    <s v="48823862-866e-4c3f-95f8-3c4cfb0eec6c"/>
    <s v="Catherine Benson"/>
    <d v="2025-01-01T00:00:00"/>
    <x v="0"/>
    <x v="1"/>
    <n v="9"/>
    <n v="178.17"/>
    <n v="1603.53"/>
    <s v="In-Progress"/>
    <s v="Jan"/>
    <n v="178.17"/>
  </r>
  <r>
    <s v="e40db6d6-cf52-4d39-a3d2-77f3b27cb48a"/>
    <s v="Scott Richardson"/>
    <d v="2024-03-08T00:00:00"/>
    <x v="0"/>
    <x v="3"/>
    <m/>
    <n v="196.77"/>
    <m/>
    <s v="completed "/>
    <s v="Mar"/>
    <s v=""/>
  </r>
  <r>
    <s v="728a5ed4-7405-48d5-878d-e22462123782"/>
    <s v="David Hall"/>
    <d v="2024-12-09T00:00:00"/>
    <x v="2"/>
    <x v="1"/>
    <m/>
    <n v="89.44"/>
    <m/>
    <s v="in progress"/>
    <s v="Dec"/>
    <s v=""/>
  </r>
  <r>
    <s v="b7107066-da01-4fc9-a12d-a31a9bdf4bcd"/>
    <s v="Matthew Davis"/>
    <d v="2025-01-23T00:00:00"/>
    <x v="3"/>
    <x v="2"/>
    <m/>
    <n v="119.85"/>
    <m/>
    <s v="CANCELLED"/>
    <s v="Jan"/>
    <s v=""/>
  </r>
  <r>
    <s v="b88d30b5-d7b6-4271-8f28-1ec295d5d0ba"/>
    <s v="Kimberly Kennedy"/>
    <d v="2024-02-16T00:00:00"/>
    <x v="2"/>
    <x v="1"/>
    <n v="7"/>
    <n v="121"/>
    <n v="847"/>
    <s v="In-Progress"/>
    <s v="Feb"/>
    <n v="121"/>
  </r>
  <r>
    <s v="c839a1a2-c7a9-4178-88a2-ee3c1fb0d175"/>
    <s v="Tracy Leach"/>
    <d v="2025-01-20T00:00:00"/>
    <x v="2"/>
    <x v="4"/>
    <m/>
    <n v="58.81"/>
    <m/>
    <s v="Cancelled "/>
    <s v="Jan"/>
    <s v=""/>
  </r>
  <r>
    <s v="9ed6153b-32dc-414f-9a0a-c521ff02a0aa"/>
    <s v="Nancy Whitaker"/>
    <d v="2024-01-14T00:00:00"/>
    <x v="0"/>
    <x v="2"/>
    <n v="6"/>
    <n v="77.72"/>
    <n v="466.32"/>
    <s v="CANCELLED"/>
    <s v="Jan"/>
    <n v="77.72"/>
  </r>
  <r>
    <s v="73da5ff7-794a-4709-a71d-cc7db22c279a"/>
    <s v="Beth Davis"/>
    <d v="2025-03-24T00:00:00"/>
    <x v="3"/>
    <x v="4"/>
    <n v="7"/>
    <n v="196.42"/>
    <n v="1374.94"/>
    <s v="CANCELLED"/>
    <s v="Mar"/>
    <n v="196.42000000000002"/>
  </r>
  <r>
    <s v="41e98f9d-0d79-4900-9ac7-576172dcc0ea"/>
    <s v="Olivia Jones"/>
    <d v="2025-04-01T00:00:00"/>
    <x v="1"/>
    <x v="0"/>
    <n v="3"/>
    <n v="122.1"/>
    <n v="366.3"/>
    <s v="CANCELLED"/>
    <s v="Apr"/>
    <n v="122.10000000000001"/>
  </r>
  <r>
    <s v="a634424d-42cb-40ca-9b1b-53be5b9dc963"/>
    <s v="Justin Compton"/>
    <d v="2023-05-19T00:00:00"/>
    <x v="2"/>
    <x v="4"/>
    <n v="3"/>
    <n v="55.84"/>
    <m/>
    <s v="In-Progress"/>
    <s v="May"/>
    <s v=""/>
  </r>
  <r>
    <s v="2dc52d7c-7c99-4623-adc5-5f3f4a67fab9"/>
    <s v="Ryan Taylor"/>
    <d v="2024-10-11T00:00:00"/>
    <x v="1"/>
    <x v="3"/>
    <n v="5"/>
    <n v="98.95"/>
    <n v="494.75"/>
    <s v="CANCELLED"/>
    <s v="Oct"/>
    <n v="98.95"/>
  </r>
  <r>
    <s v="feb1b59c-4ea6-41be-bb02-ff156a0b9cc1"/>
    <s v="Melissa Haas"/>
    <d v="2024-11-29T00:00:00"/>
    <x v="2"/>
    <x v="3"/>
    <n v="6"/>
    <n v="56.28"/>
    <n v="337.68"/>
    <s v="Cancelled "/>
    <s v="Nov"/>
    <n v="56.28"/>
  </r>
  <r>
    <s v="8e1b1ebe-aa12-4b00-b57e-1d1a1acd7727"/>
    <s v="Jennifer Guzman"/>
    <d v="2023-10-08T00:00:00"/>
    <x v="4"/>
    <x v="1"/>
    <n v="9"/>
    <n v="80.83"/>
    <n v="727.47"/>
    <s v="In-Progress"/>
    <s v="Oct"/>
    <n v="80.83"/>
  </r>
  <r>
    <s v="1a006ea4-6d42-4232-b084-667187ae0878"/>
    <s v="Samantha Kelly"/>
    <d v="2023-10-01T00:00:00"/>
    <x v="1"/>
    <x v="4"/>
    <m/>
    <n v="52.69"/>
    <m/>
    <s v="Cancelled "/>
    <s v="Oct"/>
    <s v=""/>
  </r>
  <r>
    <s v="959fd378-d0af-4e83-b3db-09219e2a87b8"/>
    <s v="Jennifer Martinez"/>
    <d v="2024-07-16T00:00:00"/>
    <x v="2"/>
    <x v="3"/>
    <n v="1"/>
    <n v="183.45"/>
    <n v="183.45"/>
    <s v="Completed"/>
    <s v="Jul"/>
    <n v="183.45"/>
  </r>
  <r>
    <s v="535b7e12-7bf2-4f0f-b065-51d1d0bd9802"/>
    <s v="Michael Hamilton"/>
    <d v="2024-04-10T00:00:00"/>
    <x v="1"/>
    <x v="0"/>
    <n v="4"/>
    <n v="94.02"/>
    <n v="376.08"/>
    <s v="in progress"/>
    <s v="Apr"/>
    <n v="94.02"/>
  </r>
  <r>
    <s v="c971f3a5-5908-416b-8e9b-b00a4feee8ac"/>
    <s v="Philip Ortega"/>
    <d v="2023-06-17T00:00:00"/>
    <x v="0"/>
    <x v="1"/>
    <m/>
    <n v="152.78"/>
    <m/>
    <s v="Cancelled "/>
    <s v="Jun"/>
    <s v=""/>
  </r>
  <r>
    <s v="835a0d57-27c5-4502-9380-ec2eef2f52b6"/>
    <s v="Amber Mckee"/>
    <d v="2024-10-24T00:00:00"/>
    <x v="4"/>
    <x v="1"/>
    <m/>
    <n v="55.99"/>
    <m/>
    <s v="In-Progress"/>
    <s v="Oct"/>
    <s v=""/>
  </r>
  <r>
    <s v="af0bdd6a-ac25-481c-84ca-faa0344b608b"/>
    <s v="David Williams DDS"/>
    <d v="2023-07-26T00:00:00"/>
    <x v="2"/>
    <x v="4"/>
    <m/>
    <n v="141.15"/>
    <m/>
    <s v="completed "/>
    <s v="Jul"/>
    <s v=""/>
  </r>
  <r>
    <s v="26b4926c-4399-44f4-8293-a3a8e3319371"/>
    <s v="Christina Ruiz"/>
    <d v="2023-10-04T00:00:00"/>
    <x v="3"/>
    <x v="4"/>
    <n v="4"/>
    <n v="124.02"/>
    <n v="496.08"/>
    <s v="In-Progress"/>
    <s v="Oct"/>
    <n v="124.02"/>
  </r>
  <r>
    <s v="7a76e400-ea92-45eb-802b-e83ce0db5383"/>
    <s v="Richard Tate MD"/>
    <d v="2023-12-17T00:00:00"/>
    <x v="1"/>
    <x v="0"/>
    <m/>
    <n v="195.3"/>
    <m/>
    <s v="CANCELLED"/>
    <s v="Dec"/>
    <s v=""/>
  </r>
  <r>
    <s v="39bed616-0ffc-4a81-9c61-36f6c16cd462"/>
    <s v="Shelby Nielsen"/>
    <d v="2025-04-08T00:00:00"/>
    <x v="0"/>
    <x v="4"/>
    <m/>
    <n v="56.29"/>
    <m/>
    <s v="Completed"/>
    <s v="Apr"/>
    <s v=""/>
  </r>
  <r>
    <s v="e516aff6-da23-49bd-941e-e14f71279773"/>
    <s v="Jacob Rodriguez"/>
    <d v="2024-11-22T00:00:00"/>
    <x v="2"/>
    <x v="3"/>
    <n v="7"/>
    <n v="88.39"/>
    <n v="618.73"/>
    <s v="CANCELLED"/>
    <s v="Nov"/>
    <n v="88.39"/>
  </r>
  <r>
    <s v="8038379f-a0ef-4b2b-a333-8114f2ea0c51"/>
    <s v="Heather Mccarty"/>
    <d v="2025-01-16T00:00:00"/>
    <x v="4"/>
    <x v="3"/>
    <m/>
    <n v="180.43"/>
    <m/>
    <s v="completed "/>
    <s v="Jan"/>
    <s v=""/>
  </r>
  <r>
    <s v="e7b3c185-df55-43fa-8360-8175e594d26f"/>
    <s v="Russell Lewis"/>
    <d v="2023-09-16T00:00:00"/>
    <x v="0"/>
    <x v="0"/>
    <m/>
    <n v="17.32"/>
    <m/>
    <s v="completed "/>
    <s v="Sep"/>
    <s v=""/>
  </r>
  <r>
    <s v="e93a867b-f9a0-488e-8008-6e7b77b7a8bf"/>
    <s v="John Roberts"/>
    <d v="2023-06-27T00:00:00"/>
    <x v="0"/>
    <x v="1"/>
    <n v="4"/>
    <n v="78.099999999999994"/>
    <n v="312.39999999999998"/>
    <s v="In-Progress"/>
    <s v="Jun"/>
    <n v="78.099999999999994"/>
  </r>
  <r>
    <s v="43164f1f-e59c-4fa5-aa79-c4dfcc36bc03"/>
    <s v="Dr. Gabrielle Jenkins"/>
    <d v="2024-08-14T00:00:00"/>
    <x v="4"/>
    <x v="0"/>
    <m/>
    <n v="197.53"/>
    <m/>
    <s v="Cancelled "/>
    <s v="Aug"/>
    <s v=""/>
  </r>
  <r>
    <s v="a6bfe668-d633-438d-9d61-2c08f606b200"/>
    <s v="Mitchell Schmidt"/>
    <d v="2025-01-07T00:00:00"/>
    <x v="0"/>
    <x v="2"/>
    <m/>
    <n v="58.03"/>
    <m/>
    <s v="Completed"/>
    <s v="Jan"/>
    <s v=""/>
  </r>
  <r>
    <s v="04118206-ba2e-4d3c-92d8-3e113cdb8122"/>
    <s v="Brad Murillo"/>
    <d v="2024-03-08T00:00:00"/>
    <x v="1"/>
    <x v="3"/>
    <m/>
    <n v="138.01"/>
    <m/>
    <s v="Cancelled "/>
    <s v="Mar"/>
    <s v=""/>
  </r>
  <r>
    <s v="f78ec112-4243-460e-84f9-9269025a387d"/>
    <s v="Kathryn Robinson"/>
    <d v="2025-02-18T00:00:00"/>
    <x v="2"/>
    <x v="3"/>
    <m/>
    <n v="81.37"/>
    <m/>
    <s v="in progress"/>
    <s v="Feb"/>
    <s v=""/>
  </r>
  <r>
    <s v="ea44320a-f327-40e5-a76b-c2ea3fc2aa88"/>
    <s v="Angela Wolf"/>
    <d v="2023-08-21T00:00:00"/>
    <x v="4"/>
    <x v="1"/>
    <m/>
    <n v="110.42"/>
    <m/>
    <s v="completed "/>
    <s v="Aug"/>
    <s v=""/>
  </r>
  <r>
    <s v="90bb267d-c74f-48e0-9b18-40449ee13126"/>
    <s v="William Stewart Jr."/>
    <d v="2025-01-31T00:00:00"/>
    <x v="0"/>
    <x v="0"/>
    <n v="5"/>
    <n v="47.97"/>
    <m/>
    <s v="Cancelled "/>
    <s v="Jan"/>
    <s v=""/>
  </r>
  <r>
    <s v="5fee30ce-c928-4680-b1d6-3c0d21ad7b4e"/>
    <s v="Elizabeth Poole"/>
    <d v="2025-03-06T00:00:00"/>
    <x v="0"/>
    <x v="4"/>
    <n v="4"/>
    <n v="153.19999999999999"/>
    <n v="612.79999999999995"/>
    <s v="Completed"/>
    <s v="Mar"/>
    <n v="153.19999999999999"/>
  </r>
  <r>
    <s v="84cb6c9c-9fcb-42ab-a10d-6d03180df2bd"/>
    <s v="Linda Mason"/>
    <d v="2024-09-01T00:00:00"/>
    <x v="1"/>
    <x v="3"/>
    <n v="8"/>
    <n v="111.15"/>
    <n v="889.2"/>
    <s v="In-Progress"/>
    <s v="Sep"/>
    <n v="111.15"/>
  </r>
  <r>
    <s v="f411b953-315a-4af4-9c29-7825455bd33f"/>
    <s v="Kim Walters"/>
    <d v="2024-06-29T00:00:00"/>
    <x v="0"/>
    <x v="2"/>
    <m/>
    <n v="110.33"/>
    <m/>
    <s v="In-Progress"/>
    <s v="Jun"/>
    <s v=""/>
  </r>
  <r>
    <s v="6ec25d53-b6a9-4f16-b86d-0a8880aaac22"/>
    <s v="Megan Ruiz"/>
    <d v="2024-09-16T00:00:00"/>
    <x v="1"/>
    <x v="3"/>
    <m/>
    <n v="194.71"/>
    <m/>
    <s v="Completed"/>
    <s v="Sep"/>
    <s v=""/>
  </r>
  <r>
    <s v="a74d9f62-e1c3-40fb-9cf1-dabe7735af98"/>
    <s v="Amber Lewis"/>
    <d v="2024-06-04T00:00:00"/>
    <x v="0"/>
    <x v="1"/>
    <n v="1"/>
    <n v="62.59"/>
    <n v="62.59"/>
    <s v="Cancelled "/>
    <s v="Jun"/>
    <n v="62.59"/>
  </r>
  <r>
    <s v="39844f82-cff6-410d-b58f-9bee8dd49e9b"/>
    <s v="Robert Allen"/>
    <d v="2025-04-06T00:00:00"/>
    <x v="2"/>
    <x v="0"/>
    <m/>
    <n v="132.13999999999999"/>
    <m/>
    <s v="Completed"/>
    <s v="Apr"/>
    <s v=""/>
  </r>
  <r>
    <s v="e92854ce-46e8-408f-a189-68f06d802eba"/>
    <s v="Tyler Young"/>
    <d v="2023-11-17T00:00:00"/>
    <x v="4"/>
    <x v="0"/>
    <m/>
    <n v="111.14"/>
    <m/>
    <s v="Cancelled "/>
    <s v="Nov"/>
    <s v=""/>
  </r>
  <r>
    <s v="a61870e1-71b2-420a-937a-62cae370df2a"/>
    <s v="Eddie Madden"/>
    <d v="2024-09-29T00:00:00"/>
    <x v="0"/>
    <x v="3"/>
    <m/>
    <n v="121.97"/>
    <m/>
    <s v="completed "/>
    <s v="Sep"/>
    <s v=""/>
  </r>
  <r>
    <s v="1105c366-bc25-4713-892b-39744346bbd0"/>
    <s v="Blake Price"/>
    <d v="2024-02-07T00:00:00"/>
    <x v="1"/>
    <x v="2"/>
    <n v="3"/>
    <n v="86"/>
    <m/>
    <s v="in progress"/>
    <s v="Feb"/>
    <s v=""/>
  </r>
  <r>
    <s v="c40bfda3-40e0-4049-bb3c-a67370ff1ebc"/>
    <s v="Anna Chavez"/>
    <d v="2024-02-19T00:00:00"/>
    <x v="0"/>
    <x v="2"/>
    <n v="1"/>
    <n v="52.07"/>
    <n v="52.07"/>
    <s v="in progress"/>
    <s v="Feb"/>
    <n v="52.07"/>
  </r>
  <r>
    <s v="1ef9c448-0525-47dc-951b-7359149d6217"/>
    <s v="Abigail Howard"/>
    <d v="2023-07-13T00:00:00"/>
    <x v="0"/>
    <x v="4"/>
    <n v="1"/>
    <n v="49.47"/>
    <n v="49.47"/>
    <s v="in progress"/>
    <s v="Jul"/>
    <n v="49.47"/>
  </r>
  <r>
    <s v="64a80c7e-6659-4c3d-852b-c495c2e3c6f0"/>
    <s v="Lori Taylor"/>
    <d v="2023-10-08T00:00:00"/>
    <x v="0"/>
    <x v="0"/>
    <n v="3"/>
    <n v="176.79"/>
    <n v="530.37"/>
    <s v="CANCELLED"/>
    <s v="Oct"/>
    <n v="176.79"/>
  </r>
  <r>
    <s v="25832375-7e19-494c-9b1b-77241132fa59"/>
    <s v="Brandy Brewer"/>
    <d v="2023-05-23T00:00:00"/>
    <x v="1"/>
    <x v="4"/>
    <n v="5"/>
    <n v="153.06"/>
    <n v="765.3"/>
    <s v="In-Progress"/>
    <s v="May"/>
    <n v="153.06"/>
  </r>
  <r>
    <s v="b8eab0d6-7233-4e5b-b1bc-d9dd77876e91"/>
    <s v="Nicholas Walls"/>
    <d v="2025-02-16T00:00:00"/>
    <x v="2"/>
    <x v="1"/>
    <n v="3"/>
    <n v="102.34"/>
    <n v="307.02"/>
    <s v="Completed"/>
    <s v="Feb"/>
    <n v="102.33999999999999"/>
  </r>
  <r>
    <s v="57ed697a-cb34-490b-b8e5-10d7919b44f5"/>
    <s v="Mary Brown"/>
    <d v="2024-12-17T00:00:00"/>
    <x v="2"/>
    <x v="0"/>
    <n v="1"/>
    <n v="86.78"/>
    <n v="86.78"/>
    <s v="completed "/>
    <s v="Dec"/>
    <n v="86.78"/>
  </r>
  <r>
    <s v="50d26aad-5917-4b69-9a6b-a104a2798a99"/>
    <s v="Eric Phillips"/>
    <d v="2024-11-25T00:00:00"/>
    <x v="2"/>
    <x v="4"/>
    <n v="1"/>
    <n v="150.13"/>
    <n v="150.13"/>
    <s v="completed "/>
    <s v="Nov"/>
    <n v="150.13"/>
  </r>
  <r>
    <s v="3739fbc0-6b9e-4822-962e-ca34857fb914"/>
    <s v="Heather Chen"/>
    <d v="2024-04-22T00:00:00"/>
    <x v="0"/>
    <x v="4"/>
    <m/>
    <n v="27.89"/>
    <m/>
    <s v="completed "/>
    <s v="Apr"/>
    <s v=""/>
  </r>
  <r>
    <s v="58174292-f371-443f-b283-cb2d16df4894"/>
    <s v="Melinda Day"/>
    <d v="2023-07-15T00:00:00"/>
    <x v="2"/>
    <x v="0"/>
    <n v="2"/>
    <n v="112.72"/>
    <n v="225.44"/>
    <s v="Completed"/>
    <s v="Jul"/>
    <n v="112.72"/>
  </r>
  <r>
    <s v="f7c3cd7e-c8a1-4a3e-84e1-7ab60980e80e"/>
    <s v="Terry Lindsey"/>
    <d v="2023-11-20T00:00:00"/>
    <x v="1"/>
    <x v="3"/>
    <m/>
    <n v="129.15"/>
    <m/>
    <s v="completed "/>
    <s v="Nov"/>
    <s v=""/>
  </r>
  <r>
    <s v="2e194d52-cd54-44c6-abba-95f6790388c2"/>
    <s v="Janet Lee"/>
    <d v="2023-09-24T00:00:00"/>
    <x v="1"/>
    <x v="4"/>
    <m/>
    <n v="83.23"/>
    <m/>
    <s v="completed "/>
    <s v="Sep"/>
    <s v=""/>
  </r>
  <r>
    <s v="12b4f055-e089-4967-a742-6c796722e1c1"/>
    <s v="Gilbert Holt"/>
    <d v="2023-12-18T00:00:00"/>
    <x v="0"/>
    <x v="2"/>
    <n v="3"/>
    <n v="15.07"/>
    <n v="45.21"/>
    <s v="CANCELLED"/>
    <s v="Dec"/>
    <n v="15.07"/>
  </r>
  <r>
    <s v="7626d1cf-f8cf-4bc2-864a-c9a602c2cd16"/>
    <s v="James Davis"/>
    <d v="2023-06-08T00:00:00"/>
    <x v="4"/>
    <x v="3"/>
    <m/>
    <n v="20.57"/>
    <m/>
    <s v="in progress"/>
    <s v="Jun"/>
    <s v=""/>
  </r>
  <r>
    <s v="5fa987ea-843a-4798-9ec0-6d37c6b686a5"/>
    <s v="Linda Thomas"/>
    <d v="2023-10-02T00:00:00"/>
    <x v="0"/>
    <x v="1"/>
    <m/>
    <n v="130.63999999999999"/>
    <m/>
    <s v="Completed"/>
    <s v="Oct"/>
    <s v=""/>
  </r>
  <r>
    <s v="598cd083-a0c1-4536-bcf2-b843e6b3c40d"/>
    <s v="Michael Mitchell"/>
    <d v="2023-09-24T00:00:00"/>
    <x v="4"/>
    <x v="4"/>
    <m/>
    <n v="137.21"/>
    <m/>
    <s v="Cancelled "/>
    <s v="Sep"/>
    <s v=""/>
  </r>
  <r>
    <s v="9aef4749-fd9b-4d08-a943-8a115e07062b"/>
    <s v="Bob Cooper"/>
    <d v="2023-09-22T00:00:00"/>
    <x v="1"/>
    <x v="2"/>
    <m/>
    <n v="96.69"/>
    <m/>
    <s v="Cancelled "/>
    <s v="Sep"/>
    <s v=""/>
  </r>
  <r>
    <s v="af4a901a-80f9-4ac3-ad51-b3ca781bf2de"/>
    <s v="Keith Guzman"/>
    <d v="2024-05-16T00:00:00"/>
    <x v="1"/>
    <x v="4"/>
    <n v="3"/>
    <n v="176.43"/>
    <n v="529.29"/>
    <s v="Cancelled "/>
    <s v="May"/>
    <n v="176.42999999999998"/>
  </r>
  <r>
    <s v="14d2a47a-5929-446c-91b7-3f2edff2c9c6"/>
    <s v="Sandra Cameron"/>
    <d v="2023-12-15T00:00:00"/>
    <x v="0"/>
    <x v="4"/>
    <n v="9"/>
    <n v="93.49"/>
    <n v="841.41"/>
    <s v="Completed"/>
    <s v="Dec"/>
    <n v="93.49"/>
  </r>
  <r>
    <s v="94877f13-3f57-4b55-a955-d3f8901878e3"/>
    <s v="Alexandra Chambers"/>
    <d v="2024-02-22T00:00:00"/>
    <x v="1"/>
    <x v="3"/>
    <n v="7"/>
    <n v="181.68"/>
    <n v="1271.76"/>
    <s v="CANCELLED"/>
    <s v="Feb"/>
    <n v="181.68"/>
  </r>
  <r>
    <s v="a599e526-9fb8-4f39-bbb0-664c8e8f78ed"/>
    <s v="Denise Ruiz"/>
    <d v="2023-07-24T00:00:00"/>
    <x v="0"/>
    <x v="2"/>
    <n v="4"/>
    <n v="66.41"/>
    <n v="265.64"/>
    <s v="Cancelled "/>
    <s v="Jul"/>
    <n v="66.41"/>
  </r>
  <r>
    <s v="17805b22-8ee1-4e43-8d9a-382aa13989d4"/>
    <s v="Karen Wise"/>
    <d v="2023-06-03T00:00:00"/>
    <x v="3"/>
    <x v="2"/>
    <n v="5"/>
    <n v="24.03"/>
    <n v="120.15"/>
    <s v="CANCELLED"/>
    <s v="Jun"/>
    <n v="24.03"/>
  </r>
  <r>
    <s v="8cf37b7a-bb1a-4ffe-910c-27c8baa44270"/>
    <s v="Lori Garcia"/>
    <d v="2024-10-06T00:00:00"/>
    <x v="0"/>
    <x v="3"/>
    <m/>
    <n v="160.74"/>
    <m/>
    <s v="completed "/>
    <s v="Oct"/>
    <s v=""/>
  </r>
  <r>
    <s v="571e9882-3879-4cd9-b141-5f44fb92cfc0"/>
    <s v="Shannon Martin"/>
    <d v="2025-02-27T00:00:00"/>
    <x v="2"/>
    <x v="0"/>
    <m/>
    <n v="23.31"/>
    <m/>
    <s v="Completed"/>
    <s v="Feb"/>
    <s v=""/>
  </r>
  <r>
    <s v="9b75697f-b887-45f7-894c-11c3767a805a"/>
    <s v="Rebecca Solis"/>
    <d v="2025-01-05T00:00:00"/>
    <x v="4"/>
    <x v="4"/>
    <m/>
    <n v="157.71"/>
    <m/>
    <s v="CANCELLED"/>
    <s v="Jan"/>
    <s v=""/>
  </r>
  <r>
    <s v="a3be8487-509c-46e1-8939-5e4ae35849c6"/>
    <s v="Dr. David Fernandez"/>
    <d v="2024-12-06T00:00:00"/>
    <x v="4"/>
    <x v="1"/>
    <n v="9"/>
    <n v="80.180000000000007"/>
    <n v="721.62"/>
    <s v="In-Progress"/>
    <s v="Dec"/>
    <n v="80.180000000000007"/>
  </r>
  <r>
    <s v="d2bcee4f-debf-4665-81dc-85642a357267"/>
    <s v="Justin Morales"/>
    <d v="2024-02-19T00:00:00"/>
    <x v="1"/>
    <x v="4"/>
    <m/>
    <n v="15.6"/>
    <m/>
    <s v="in progress"/>
    <s v="Feb"/>
    <s v=""/>
  </r>
  <r>
    <s v="b5c30161-e19d-4b5b-afef-fff023cd536f"/>
    <s v="Amber Ward"/>
    <d v="2024-10-24T00:00:00"/>
    <x v="3"/>
    <x v="1"/>
    <m/>
    <n v="103.55"/>
    <m/>
    <s v="Cancelled "/>
    <s v="Oct"/>
    <s v=""/>
  </r>
  <r>
    <s v="7ded0cbf-c709-48e3-85e9-4d678d3ae7fe"/>
    <s v="Jose Bennett"/>
    <d v="2023-08-04T00:00:00"/>
    <x v="1"/>
    <x v="1"/>
    <m/>
    <n v="115.52"/>
    <m/>
    <s v="CANCELLED"/>
    <s v="Aug"/>
    <s v=""/>
  </r>
  <r>
    <s v="3135b76d-d04d-44ff-bb08-12baffd9c40a"/>
    <s v="Sharon Vance"/>
    <d v="2023-06-24T00:00:00"/>
    <x v="4"/>
    <x v="2"/>
    <n v="5"/>
    <n v="63.02"/>
    <n v="315.10000000000002"/>
    <s v="In-Progress"/>
    <s v="Jun"/>
    <n v="63.02"/>
  </r>
  <r>
    <s v="32b8af8d-91ec-4552-9d2f-28fd54611778"/>
    <s v="Richard Fisher"/>
    <d v="2025-02-20T00:00:00"/>
    <x v="0"/>
    <x v="1"/>
    <n v="9"/>
    <n v="68.900000000000006"/>
    <n v="620.1"/>
    <s v="In-Progress"/>
    <s v="Feb"/>
    <n v="68.900000000000006"/>
  </r>
  <r>
    <s v="7d899231-3f4d-4628-b75b-74ca57913169"/>
    <s v="Jeffrey Nelson"/>
    <d v="2024-02-08T00:00:00"/>
    <x v="4"/>
    <x v="4"/>
    <m/>
    <n v="70.06"/>
    <m/>
    <s v="CANCELLED"/>
    <s v="Feb"/>
    <s v=""/>
  </r>
  <r>
    <s v="123a6afb-62ce-4c66-aa6a-268f0e4a356f"/>
    <s v="Sheryl Wolfe"/>
    <d v="2024-07-23T00:00:00"/>
    <x v="0"/>
    <x v="3"/>
    <m/>
    <n v="75.53"/>
    <m/>
    <s v="In-Progress"/>
    <s v="Jul"/>
    <s v=""/>
  </r>
  <r>
    <s v="ef2b6afd-2211-4bdb-94b8-bea82fe8b5e6"/>
    <s v="William Gibson"/>
    <d v="2025-03-28T00:00:00"/>
    <x v="0"/>
    <x v="2"/>
    <n v="1"/>
    <n v="19.100000000000001"/>
    <n v="19.100000000000001"/>
    <s v="Cancelled "/>
    <s v="Mar"/>
    <n v="19.100000000000001"/>
  </r>
  <r>
    <s v="3479e2d7-9a7c-4e28-8080-a6a0e6fa888f"/>
    <s v="Susan Hernandez"/>
    <d v="2023-05-19T00:00:00"/>
    <x v="3"/>
    <x v="2"/>
    <n v="3"/>
    <n v="16.05"/>
    <m/>
    <s v="completed "/>
    <s v="May"/>
    <s v=""/>
  </r>
  <r>
    <s v="e6b97c3f-da41-43d5-95cb-f0149cf06bbc"/>
    <s v="Melissa Davis"/>
    <d v="2024-02-17T00:00:00"/>
    <x v="1"/>
    <x v="0"/>
    <m/>
    <n v="122.81"/>
    <m/>
    <s v="completed "/>
    <s v="Feb"/>
    <s v=""/>
  </r>
  <r>
    <s v="1d60db1b-822a-4a7d-b820-933b0d2c1553"/>
    <s v="Barbara Harris"/>
    <d v="2025-03-25T00:00:00"/>
    <x v="0"/>
    <x v="4"/>
    <n v="2"/>
    <n v="49.68"/>
    <n v="99.36"/>
    <s v="in progress"/>
    <s v="Mar"/>
    <n v="49.68"/>
  </r>
  <r>
    <s v="1f748a58-a0fa-45a5-a6c8-b0c5953d03bb"/>
    <s v="Jennifer Bowers"/>
    <d v="2024-05-17T00:00:00"/>
    <x v="1"/>
    <x v="0"/>
    <n v="1"/>
    <n v="145.75"/>
    <n v="145.75"/>
    <s v="Completed"/>
    <s v="May"/>
    <n v="145.75"/>
  </r>
  <r>
    <s v="0f944755-a278-4c49-aef4-3679f05f6d20"/>
    <s v="Jane Guerra"/>
    <d v="2024-12-27T00:00:00"/>
    <x v="4"/>
    <x v="2"/>
    <m/>
    <n v="103.18"/>
    <m/>
    <s v="CANCELLED"/>
    <s v="Dec"/>
    <s v=""/>
  </r>
  <r>
    <s v="d01c4c6b-9cbb-4774-ae7d-6d306711b736"/>
    <s v="Jamie Anderson"/>
    <d v="2024-12-08T00:00:00"/>
    <x v="3"/>
    <x v="4"/>
    <n v="8"/>
    <n v="172.43"/>
    <n v="1379.44"/>
    <s v="in progress"/>
    <s v="Dec"/>
    <n v="172.43"/>
  </r>
  <r>
    <s v="e50d4fbd-1b2f-4995-be2f-8b54650000ed"/>
    <s v="Mallory Webb"/>
    <d v="2024-07-24T00:00:00"/>
    <x v="4"/>
    <x v="3"/>
    <n v="7"/>
    <n v="35.590000000000003"/>
    <n v="249.13"/>
    <s v="in progress"/>
    <s v="Jul"/>
    <n v="35.589999999999996"/>
  </r>
  <r>
    <s v="94cd2c03-52ab-420e-a711-484fff70c9fb"/>
    <s v="Sheila Jackson"/>
    <d v="2023-10-11T00:00:00"/>
    <x v="1"/>
    <x v="1"/>
    <m/>
    <n v="108.53"/>
    <m/>
    <s v="In-Progress"/>
    <s v="Oct"/>
    <s v=""/>
  </r>
  <r>
    <s v="80962adf-a5f7-4817-a1e0-e134b347542e"/>
    <s v="Alexander Robinson"/>
    <d v="2023-05-04T00:00:00"/>
    <x v="0"/>
    <x v="3"/>
    <m/>
    <n v="161.02000000000001"/>
    <m/>
    <s v="In-Progress"/>
    <s v="May"/>
    <s v=""/>
  </r>
  <r>
    <s v="26353852-0556-4809-8e71-710feeded55a"/>
    <s v="Jill Haynes"/>
    <d v="2024-03-17T00:00:00"/>
    <x v="2"/>
    <x v="2"/>
    <m/>
    <n v="79.63"/>
    <m/>
    <s v="CANCELLED"/>
    <s v="Mar"/>
    <s v=""/>
  </r>
  <r>
    <s v="227a991f-833c-4f4c-abef-031857eee551"/>
    <s v="Donald Richard"/>
    <d v="2024-07-08T00:00:00"/>
    <x v="1"/>
    <x v="1"/>
    <m/>
    <n v="76.58"/>
    <m/>
    <s v="CANCELLED"/>
    <s v="Jul"/>
    <s v=""/>
  </r>
  <r>
    <s v="9dd060f8-a7d5-4c10-957c-a9a38ce43725"/>
    <s v="Hayley Jenkins"/>
    <d v="2024-03-11T00:00:00"/>
    <x v="0"/>
    <x v="2"/>
    <m/>
    <n v="48.08"/>
    <m/>
    <s v="completed "/>
    <s v="Mar"/>
    <s v=""/>
  </r>
  <r>
    <s v="73518cbb-ba47-4c5f-b8e0-b7d0cd79e535"/>
    <s v="Melissa Smith"/>
    <d v="2023-09-06T00:00:00"/>
    <x v="1"/>
    <x v="3"/>
    <n v="3"/>
    <n v="86.65"/>
    <n v="259.95"/>
    <s v="In-Progress"/>
    <s v="Sep"/>
    <n v="86.649999999999991"/>
  </r>
  <r>
    <s v="bdad5235-683b-4089-9787-0c05c48adad4"/>
    <s v="Angela Moore"/>
    <d v="2024-02-14T00:00:00"/>
    <x v="4"/>
    <x v="2"/>
    <m/>
    <n v="21.01"/>
    <m/>
    <s v="In-Progress"/>
    <s v="Feb"/>
    <s v=""/>
  </r>
  <r>
    <s v="68d3bb28-5943-4932-b1d5-98e1edbcee4e"/>
    <s v="Ronald Green"/>
    <d v="2023-11-15T00:00:00"/>
    <x v="4"/>
    <x v="2"/>
    <n v="1"/>
    <n v="93.6"/>
    <n v="93.6"/>
    <s v="completed "/>
    <s v="Nov"/>
    <n v="93.6"/>
  </r>
  <r>
    <s v="fca5b9f2-79ce-467b-bce9-1671310214f5"/>
    <s v="Karen Harrison"/>
    <d v="2024-06-19T00:00:00"/>
    <x v="1"/>
    <x v="0"/>
    <m/>
    <n v="129.53"/>
    <m/>
    <s v="Cancelled "/>
    <s v="Jun"/>
    <s v=""/>
  </r>
  <r>
    <s v="2c7bcec6-32c9-46a3-b449-71a4d7f22f25"/>
    <s v="Maureen Ramos"/>
    <d v="2025-02-20T00:00:00"/>
    <x v="4"/>
    <x v="2"/>
    <n v="4"/>
    <n v="37.840000000000003"/>
    <n v="151.36000000000001"/>
    <s v="In-Progress"/>
    <s v="Feb"/>
    <n v="37.840000000000003"/>
  </r>
  <r>
    <s v="b79698a3-07d2-4014-8578-b38ce2f60e46"/>
    <s v="Justin Guzman"/>
    <d v="2024-01-19T00:00:00"/>
    <x v="0"/>
    <x v="1"/>
    <n v="9"/>
    <n v="197.37"/>
    <n v="1776.33"/>
    <s v="Completed"/>
    <s v="Jan"/>
    <n v="197.37"/>
  </r>
  <r>
    <s v="a7f6bb6b-1806-4b46-a930-5067df2b1155"/>
    <s v="William Sanchez"/>
    <d v="2024-12-07T00:00:00"/>
    <x v="4"/>
    <x v="0"/>
    <n v="6"/>
    <n v="195.11"/>
    <n v="1170.6600000000001"/>
    <s v="CANCELLED"/>
    <s v="Dec"/>
    <n v="195.11"/>
  </r>
  <r>
    <s v="65954923-3b76-474d-9591-7552e40d154b"/>
    <s v="Mason Price"/>
    <d v="2023-07-07T00:00:00"/>
    <x v="2"/>
    <x v="1"/>
    <n v="3"/>
    <n v="116.64"/>
    <n v="349.92"/>
    <s v="In-Progress"/>
    <s v="Jul"/>
    <n v="116.64"/>
  </r>
  <r>
    <s v="6d9f6a18-eb93-48df-835a-a573be45bb58"/>
    <s v="Lisa Smith"/>
    <d v="2024-08-02T00:00:00"/>
    <x v="3"/>
    <x v="4"/>
    <m/>
    <n v="58.8"/>
    <m/>
    <s v="Completed"/>
    <s v="Aug"/>
    <s v=""/>
  </r>
  <r>
    <s v="ad276322-04e6-4c03-bc2c-a7bc15d33e1d"/>
    <s v="Candace Burke"/>
    <d v="2024-05-22T00:00:00"/>
    <x v="1"/>
    <x v="1"/>
    <m/>
    <n v="57.27"/>
    <m/>
    <s v="in progress"/>
    <s v="May"/>
    <s v=""/>
  </r>
  <r>
    <s v="e632a8d1-5e0c-437d-b4bf-83c503d707ac"/>
    <s v="Sharon Edwards"/>
    <d v="2023-10-22T00:00:00"/>
    <x v="0"/>
    <x v="0"/>
    <n v="9"/>
    <n v="75.38"/>
    <n v="678.42"/>
    <s v="In-Progress"/>
    <s v="Oct"/>
    <n v="75.38"/>
  </r>
  <r>
    <s v="98116e98-f903-4bed-965b-32c05be39bec"/>
    <s v="Ryan Camacho"/>
    <d v="2023-07-05T00:00:00"/>
    <x v="1"/>
    <x v="3"/>
    <m/>
    <n v="135.96"/>
    <m/>
    <s v="CANCELLED"/>
    <s v="Jul"/>
    <s v=""/>
  </r>
  <r>
    <s v="79fa067a-32e8-4e48-a29e-d74c82524e75"/>
    <s v="Joseph Jones"/>
    <d v="2025-04-17T00:00:00"/>
    <x v="0"/>
    <x v="4"/>
    <m/>
    <n v="161.69"/>
    <m/>
    <s v="CANCELLED"/>
    <s v="Apr"/>
    <s v=""/>
  </r>
  <r>
    <s v="8c8e69fc-43ae-49e9-a8f2-0c53b8013174"/>
    <s v="David Gonzalez"/>
    <d v="2024-04-11T00:00:00"/>
    <x v="4"/>
    <x v="3"/>
    <n v="7"/>
    <n v="181.32"/>
    <n v="1269.24"/>
    <s v="CANCELLED"/>
    <s v="Apr"/>
    <n v="181.32"/>
  </r>
  <r>
    <s v="b096cc11-4dff-45fd-9047-46d07fb2a169"/>
    <s v="Connie Rivers"/>
    <d v="2023-09-18T00:00:00"/>
    <x v="0"/>
    <x v="0"/>
    <m/>
    <n v="116.29"/>
    <m/>
    <s v="in progress"/>
    <s v="Sep"/>
    <s v=""/>
  </r>
  <r>
    <s v="37f9aa2f-cf06-4018-9d93-2317f9adda06"/>
    <s v="Kenneth Lara"/>
    <d v="2025-04-21T00:00:00"/>
    <x v="0"/>
    <x v="4"/>
    <n v="3"/>
    <n v="77.59"/>
    <n v="232.77"/>
    <s v="in progress"/>
    <s v="Apr"/>
    <n v="77.59"/>
  </r>
  <r>
    <s v="aede12b2-7a5e-4454-9b91-154bbd80702d"/>
    <s v="Nicole Morris"/>
    <d v="2023-06-15T00:00:00"/>
    <x v="3"/>
    <x v="1"/>
    <n v="5"/>
    <n v="148.93"/>
    <n v="744.65"/>
    <s v="In-Progress"/>
    <s v="Jun"/>
    <n v="148.93"/>
  </r>
  <r>
    <s v="7c8257cd-f396-420a-b7a4-3f760ee6bf62"/>
    <s v="Sean Hines"/>
    <d v="2024-09-04T00:00:00"/>
    <x v="2"/>
    <x v="1"/>
    <n v="5"/>
    <n v="81.62"/>
    <n v="408.1"/>
    <s v="in progress"/>
    <s v="Sep"/>
    <n v="81.62"/>
  </r>
  <r>
    <s v="d2a59adc-fd67-46cd-a6cd-c3103a1ab227"/>
    <s v="Lauren Tate"/>
    <d v="2023-07-24T00:00:00"/>
    <x v="0"/>
    <x v="2"/>
    <n v="3"/>
    <n v="143.9"/>
    <n v="431.7"/>
    <s v="Cancelled "/>
    <s v="Jul"/>
    <n v="143.9"/>
  </r>
  <r>
    <s v="8d29ccf3-fafe-46fe-b801-66d581e1346a"/>
    <s v="Carl Smith"/>
    <d v="2023-09-24T00:00:00"/>
    <x v="0"/>
    <x v="3"/>
    <m/>
    <n v="100.26"/>
    <m/>
    <s v="Cancelled "/>
    <s v="Sep"/>
    <s v=""/>
  </r>
  <r>
    <s v="457483c1-8aa6-42fc-bfb4-f5fd3b723a69"/>
    <s v="Jessica Hensley"/>
    <d v="2024-01-24T00:00:00"/>
    <x v="1"/>
    <x v="2"/>
    <m/>
    <n v="25.24"/>
    <m/>
    <s v="in progress"/>
    <s v="Jan"/>
    <s v=""/>
  </r>
  <r>
    <s v="d44bade6-a028-478f-809e-a3e7b6c21e5a"/>
    <s v="Matthew York"/>
    <d v="2025-03-22T00:00:00"/>
    <x v="0"/>
    <x v="1"/>
    <n v="5"/>
    <n v="197.75"/>
    <n v="988.75"/>
    <s v="Cancelled "/>
    <s v="Mar"/>
    <n v="197.75"/>
  </r>
  <r>
    <s v="4a531798-675a-413e-89ec-d7436ba74f0a"/>
    <s v="Haley Thornton"/>
    <d v="2024-01-12T00:00:00"/>
    <x v="0"/>
    <x v="0"/>
    <m/>
    <n v="25.86"/>
    <m/>
    <s v="Completed"/>
    <s v="Jan"/>
    <s v=""/>
  </r>
  <r>
    <s v="8b3c6368-52f2-408e-9a25-b55f48cc6c86"/>
    <s v="Mary Roberts"/>
    <d v="2024-04-01T00:00:00"/>
    <x v="0"/>
    <x v="0"/>
    <n v="5"/>
    <n v="31.16"/>
    <n v="155.80000000000001"/>
    <s v="Cancelled "/>
    <s v="Apr"/>
    <n v="31.160000000000004"/>
  </r>
  <r>
    <s v="b623b175-9663-4ad5-8aeb-6c22eaf43ddf"/>
    <s v="Matthew Wright"/>
    <d v="2023-09-24T00:00:00"/>
    <x v="3"/>
    <x v="2"/>
    <n v="7"/>
    <n v="14.76"/>
    <n v="103.32"/>
    <s v="in progress"/>
    <s v="Sep"/>
    <n v="14.76"/>
  </r>
  <r>
    <s v="01ceabc7-d92d-401a-b38e-a1de1af40967"/>
    <s v="Kevin Decker"/>
    <d v="2024-04-24T00:00:00"/>
    <x v="0"/>
    <x v="3"/>
    <m/>
    <n v="88.57"/>
    <m/>
    <s v="Completed"/>
    <s v="Apr"/>
    <s v=""/>
  </r>
  <r>
    <s v="d1452613-fad8-4e7d-9458-bd8fbf507dfa"/>
    <s v="Miss Lori Moss"/>
    <d v="2023-12-24T00:00:00"/>
    <x v="0"/>
    <x v="0"/>
    <m/>
    <n v="70.599999999999994"/>
    <m/>
    <s v="Completed"/>
    <s v="Dec"/>
    <s v=""/>
  </r>
  <r>
    <s v="e458f08d-aa74-448a-955a-e00d473735ad"/>
    <s v="Jonathan Davenport"/>
    <d v="2023-08-21T00:00:00"/>
    <x v="2"/>
    <x v="0"/>
    <n v="5"/>
    <n v="22.99"/>
    <n v="114.95"/>
    <s v="In-Progress"/>
    <s v="Aug"/>
    <n v="22.990000000000002"/>
  </r>
  <r>
    <s v="ff62b40f-55eb-4f68-a618-8204d0bb2ce4"/>
    <s v="Robert Moreno"/>
    <d v="2024-04-17T00:00:00"/>
    <x v="0"/>
    <x v="2"/>
    <n v="7"/>
    <n v="173.42"/>
    <n v="1213.94"/>
    <s v="in progress"/>
    <s v="Apr"/>
    <n v="173.42000000000002"/>
  </r>
  <r>
    <s v="7f359d0b-d80b-44e0-ab23-24724ef8c5a5"/>
    <s v="Cheryl Roberts"/>
    <d v="2024-03-16T00:00:00"/>
    <x v="3"/>
    <x v="3"/>
    <n v="5"/>
    <n v="175.83"/>
    <n v="879.15"/>
    <s v="Cancelled "/>
    <s v="Mar"/>
    <n v="175.82999999999998"/>
  </r>
  <r>
    <s v="ac487067-82de-46bb-8d69-9b76f949b025"/>
    <s v="Tricia Riley"/>
    <d v="2024-06-02T00:00:00"/>
    <x v="2"/>
    <x v="0"/>
    <n v="3"/>
    <n v="76.430000000000007"/>
    <n v="229.29"/>
    <s v="Completed"/>
    <s v="Jun"/>
    <n v="76.429999999999993"/>
  </r>
  <r>
    <s v="8658acbf-2b4c-46f2-aa87-1eb4674664db"/>
    <s v="Joseph Hawkins"/>
    <d v="2023-12-31T00:00:00"/>
    <x v="0"/>
    <x v="3"/>
    <m/>
    <n v="134.51"/>
    <m/>
    <s v="completed "/>
    <s v="Dec"/>
    <s v=""/>
  </r>
  <r>
    <s v="ad9122f7-2b1c-4d2c-b40c-ccb8d8c8ba8a"/>
    <s v="Trevor Barnett"/>
    <d v="2025-01-23T00:00:00"/>
    <x v="1"/>
    <x v="3"/>
    <n v="2"/>
    <n v="104.72"/>
    <n v="209.44"/>
    <s v="In-Progress"/>
    <s v="Jan"/>
    <n v="104.72"/>
  </r>
  <r>
    <s v="91fb445d-9068-4397-9e62-58029440cc46"/>
    <s v="Jessica Baker"/>
    <d v="2025-02-18T00:00:00"/>
    <x v="3"/>
    <x v="0"/>
    <n v="9"/>
    <n v="13.95"/>
    <n v="125.55"/>
    <s v="CANCELLED"/>
    <s v="Feb"/>
    <n v="13.95"/>
  </r>
  <r>
    <s v="abf83dd5-9a5a-4e4d-81ef-d04e336e008a"/>
    <s v="Christopher Goodwin"/>
    <d v="2023-12-25T00:00:00"/>
    <x v="3"/>
    <x v="1"/>
    <m/>
    <n v="12.68"/>
    <m/>
    <s v="in progress"/>
    <s v="Dec"/>
    <s v=""/>
  </r>
  <r>
    <s v="dbe6bce8-d773-4140-9d9d-d11116c8c96b"/>
    <s v="Geoffrey Hickman"/>
    <d v="2024-08-15T00:00:00"/>
    <x v="3"/>
    <x v="0"/>
    <n v="6"/>
    <n v="169.83"/>
    <n v="1018.98"/>
    <s v="In-Progress"/>
    <s v="Aug"/>
    <n v="169.83"/>
  </r>
  <r>
    <s v="9b40f03f-77ed-4e52-8f3a-9d9d36447d31"/>
    <s v="Johnny Palmer"/>
    <d v="2024-04-17T00:00:00"/>
    <x v="0"/>
    <x v="0"/>
    <m/>
    <n v="55.71"/>
    <m/>
    <s v="CANCELLED"/>
    <s v="Apr"/>
    <s v=""/>
  </r>
  <r>
    <s v="733c3fc6-ecb9-4ea0-92f9-7be1ffa50a69"/>
    <s v="Julie Shaw"/>
    <d v="2024-01-07T00:00:00"/>
    <x v="3"/>
    <x v="1"/>
    <m/>
    <n v="23.49"/>
    <m/>
    <s v="in progress"/>
    <s v="Jan"/>
    <s v=""/>
  </r>
  <r>
    <s v="3b06167b-61c7-4b6c-b386-ac38bd0faf9f"/>
    <s v="Michael Lambert"/>
    <d v="2023-12-19T00:00:00"/>
    <x v="0"/>
    <x v="3"/>
    <n v="9"/>
    <n v="27.12"/>
    <n v="244.08"/>
    <s v="in progress"/>
    <s v="Dec"/>
    <n v="27.12"/>
  </r>
  <r>
    <s v="94e67eb0-7d85-4518-813d-a8dcf7cd646a"/>
    <s v="Samantha Willis"/>
    <d v="2025-04-22T00:00:00"/>
    <x v="2"/>
    <x v="4"/>
    <m/>
    <n v="99.81"/>
    <m/>
    <s v="In-Progress"/>
    <s v="Apr"/>
    <s v=""/>
  </r>
  <r>
    <s v="066006a3-b89a-4302-aae3-ad59d7f81f27"/>
    <s v="Dawn Moody"/>
    <d v="2024-10-16T00:00:00"/>
    <x v="0"/>
    <x v="0"/>
    <m/>
    <n v="138.71"/>
    <m/>
    <s v="In-Progress"/>
    <s v="Oct"/>
    <s v=""/>
  </r>
  <r>
    <s v="950da305-bada-4d6c-a7f3-efc0d47a0977"/>
    <s v="Chelsea Sandoval"/>
    <d v="2024-03-02T00:00:00"/>
    <x v="0"/>
    <x v="4"/>
    <m/>
    <n v="10.39"/>
    <m/>
    <s v="in progress"/>
    <s v="Mar"/>
    <s v=""/>
  </r>
  <r>
    <s v="23d81851-22c9-46e7-a79b-718c1858b659"/>
    <s v="Eric Guerrero"/>
    <d v="2024-01-09T00:00:00"/>
    <x v="0"/>
    <x v="3"/>
    <m/>
    <n v="40.57"/>
    <m/>
    <s v="in progress"/>
    <s v="Jan"/>
    <s v=""/>
  </r>
  <r>
    <s v="4123eceb-6f48-4d9e-8a25-0dffc58cba4b"/>
    <s v="Alicia Anderson"/>
    <d v="2024-12-23T00:00:00"/>
    <x v="1"/>
    <x v="3"/>
    <m/>
    <n v="130.72"/>
    <m/>
    <s v="completed "/>
    <s v="Dec"/>
    <s v=""/>
  </r>
  <r>
    <s v="826113b5-f249-44d0-84ad-01ae9d49cce0"/>
    <s v="Geoffrey Kemp"/>
    <d v="2024-06-30T00:00:00"/>
    <x v="0"/>
    <x v="4"/>
    <n v="3"/>
    <n v="193.61"/>
    <n v="580.83000000000004"/>
    <s v="in progress"/>
    <s v="Jun"/>
    <n v="193.61"/>
  </r>
  <r>
    <s v="5632f217-40b0-4609-9389-035005df726d"/>
    <s v="Daniel Padilla"/>
    <d v="2023-10-22T00:00:00"/>
    <x v="0"/>
    <x v="4"/>
    <n v="8"/>
    <n v="173.23"/>
    <n v="1385.84"/>
    <s v="In-Progress"/>
    <s v="Oct"/>
    <n v="173.23"/>
  </r>
  <r>
    <s v="d748008b-7048-453c-83e3-7d90e8a97b71"/>
    <s v="Julie Ortiz"/>
    <d v="2023-10-25T00:00:00"/>
    <x v="3"/>
    <x v="4"/>
    <m/>
    <n v="100.77"/>
    <m/>
    <s v="in progress"/>
    <s v="Oct"/>
    <s v=""/>
  </r>
  <r>
    <s v="357c97df-4bcf-42cf-9a7d-83d3071d2aa2"/>
    <s v="James Thomas"/>
    <d v="2023-12-30T00:00:00"/>
    <x v="0"/>
    <x v="2"/>
    <m/>
    <n v="161.16"/>
    <m/>
    <s v="CANCELLED"/>
    <s v="Dec"/>
    <s v=""/>
  </r>
  <r>
    <s v="a88dd2c1-462d-4940-adf3-50602e6b7853"/>
    <s v="Heather White"/>
    <d v="2024-11-28T00:00:00"/>
    <x v="0"/>
    <x v="2"/>
    <m/>
    <n v="169.23"/>
    <m/>
    <s v="completed "/>
    <s v="Nov"/>
    <s v=""/>
  </r>
  <r>
    <s v="4d036e1f-dc83-406d-b445-7a03085bdc27"/>
    <s v="Melissa Reese"/>
    <d v="2024-08-27T00:00:00"/>
    <x v="4"/>
    <x v="3"/>
    <m/>
    <n v="103.1"/>
    <m/>
    <s v="In-Progress"/>
    <s v="Aug"/>
    <s v=""/>
  </r>
  <r>
    <s v="b019fc46-5124-46dc-b20e-5512eecb0751"/>
    <s v="Troy Boyer"/>
    <d v="2024-06-09T00:00:00"/>
    <x v="4"/>
    <x v="2"/>
    <m/>
    <n v="35.51"/>
    <m/>
    <s v="In-Progress"/>
    <s v="Jun"/>
    <s v=""/>
  </r>
  <r>
    <s v="af7e5096-4b8c-4aa3-9e12-563a5f970913"/>
    <s v="Jack Carr"/>
    <d v="2024-12-01T00:00:00"/>
    <x v="3"/>
    <x v="1"/>
    <n v="9"/>
    <n v="181.72"/>
    <n v="1635.48"/>
    <s v="Completed"/>
    <s v="Dec"/>
    <n v="181.72"/>
  </r>
  <r>
    <s v="1e8f806b-16c0-4400-9886-7c1964339596"/>
    <s v="Devin Smith"/>
    <d v="2024-11-08T00:00:00"/>
    <x v="1"/>
    <x v="2"/>
    <m/>
    <n v="149.04"/>
    <m/>
    <s v="Completed"/>
    <s v="Nov"/>
    <s v=""/>
  </r>
  <r>
    <s v="73a9993d-1723-4278-89f0-04a90557aac9"/>
    <s v="Veronica Hammond"/>
    <d v="2024-07-21T00:00:00"/>
    <x v="3"/>
    <x v="3"/>
    <n v="4"/>
    <n v="12.52"/>
    <n v="50.08"/>
    <s v="Completed"/>
    <s v="Jul"/>
    <n v="12.52"/>
  </r>
  <r>
    <s v="9ab05718-af5b-4e24-b495-47566cb91b47"/>
    <s v="Adam Cannon"/>
    <d v="2024-12-11T00:00:00"/>
    <x v="1"/>
    <x v="0"/>
    <n v="6"/>
    <n v="47.86"/>
    <n v="287.16000000000003"/>
    <s v="completed "/>
    <s v="Dec"/>
    <n v="47.860000000000007"/>
  </r>
  <r>
    <s v="41f3daab-04c1-482b-9c60-719567f5ef98"/>
    <s v="Dominic Weaver"/>
    <d v="2025-03-22T00:00:00"/>
    <x v="4"/>
    <x v="1"/>
    <n v="3"/>
    <n v="135.22999999999999"/>
    <n v="405.69"/>
    <s v="in progress"/>
    <s v="Mar"/>
    <n v="135.22999999999999"/>
  </r>
  <r>
    <s v="c807d84d-a359-46ea-96a1-178947fcea70"/>
    <s v="Dennis Chase"/>
    <d v="2023-10-15T00:00:00"/>
    <x v="3"/>
    <x v="2"/>
    <m/>
    <n v="166.18"/>
    <m/>
    <s v="Completed"/>
    <s v="Oct"/>
    <s v=""/>
  </r>
  <r>
    <s v="ffe5f680-d808-4b2b-807d-a725adcca1f1"/>
    <s v="Theresa Murphy"/>
    <d v="2023-08-05T00:00:00"/>
    <x v="0"/>
    <x v="2"/>
    <n v="7"/>
    <n v="29.64"/>
    <n v="207.48"/>
    <s v="completed "/>
    <s v="Aug"/>
    <n v="29.639999999999997"/>
  </r>
  <r>
    <s v="bfc188e7-b5ac-43ba-a053-02ae044a97dd"/>
    <s v="Amanda Diaz"/>
    <d v="2024-11-15T00:00:00"/>
    <x v="1"/>
    <x v="4"/>
    <n v="3"/>
    <n v="183.57"/>
    <n v="550.71"/>
    <s v="Cancelled "/>
    <s v="Nov"/>
    <n v="183.57000000000002"/>
  </r>
  <r>
    <s v="841fe549-7eaa-4911-836a-b7ab7b06bf84"/>
    <s v="Nicholas Carter"/>
    <d v="2025-02-13T00:00:00"/>
    <x v="3"/>
    <x v="1"/>
    <m/>
    <n v="50.73"/>
    <m/>
    <s v="Completed"/>
    <s v="Feb"/>
    <s v=""/>
  </r>
  <r>
    <s v="24ad1600-f45d-4f26-838e-b4e008d4200e"/>
    <s v="Sarah Ramos"/>
    <d v="2024-04-28T00:00:00"/>
    <x v="0"/>
    <x v="0"/>
    <m/>
    <n v="43.83"/>
    <m/>
    <s v="in progress"/>
    <s v="Apr"/>
    <s v=""/>
  </r>
  <r>
    <s v="964c9216-fe23-41d1-b760-f34471e6df61"/>
    <s v="Sharon Bailey"/>
    <d v="2023-05-26T00:00:00"/>
    <x v="1"/>
    <x v="2"/>
    <n v="2"/>
    <n v="56.06"/>
    <n v="112.12"/>
    <s v="Cancelled "/>
    <s v="May"/>
    <n v="56.06"/>
  </r>
  <r>
    <s v="96df795f-b1a5-488d-a7a4-6dcd1ce2fd12"/>
    <s v="Kimberly Jones"/>
    <d v="2025-01-05T00:00:00"/>
    <x v="0"/>
    <x v="3"/>
    <m/>
    <n v="85.64"/>
    <m/>
    <s v="Completed"/>
    <s v="Jan"/>
    <s v=""/>
  </r>
  <r>
    <s v="dc6a770f-53bb-4c01-bfd4-7269adcafed9"/>
    <s v="Rhonda Hayes"/>
    <d v="2024-08-12T00:00:00"/>
    <x v="0"/>
    <x v="2"/>
    <m/>
    <n v="164.61"/>
    <m/>
    <s v="completed "/>
    <s v="Aug"/>
    <s v=""/>
  </r>
  <r>
    <s v="fd6155a3-fbee-490c-90a1-afb5e8a3be91"/>
    <s v="Jacqueline Guzman"/>
    <d v="2025-03-11T00:00:00"/>
    <x v="3"/>
    <x v="2"/>
    <m/>
    <n v="60.41"/>
    <m/>
    <s v="Completed"/>
    <s v="Mar"/>
    <s v=""/>
  </r>
  <r>
    <s v="e5bb61e2-1003-4341-86cf-d2bc0c01c303"/>
    <s v="Joseph Smith Jr."/>
    <d v="2023-12-01T00:00:00"/>
    <x v="0"/>
    <x v="4"/>
    <m/>
    <n v="159.32"/>
    <m/>
    <s v="in progress"/>
    <s v="Dec"/>
    <s v=""/>
  </r>
  <r>
    <s v="797dbdee-3275-43ca-8b4f-51e47b060183"/>
    <s v="Rebecca Howe"/>
    <d v="2025-01-23T00:00:00"/>
    <x v="0"/>
    <x v="3"/>
    <m/>
    <n v="189.23"/>
    <m/>
    <s v="Cancelled "/>
    <s v="Jan"/>
    <s v=""/>
  </r>
  <r>
    <s v="a88cfe5d-3007-43c8-b6f5-0b9ac2a61429"/>
    <s v="Elizabeth Carpenter"/>
    <d v="2025-01-01T00:00:00"/>
    <x v="1"/>
    <x v="0"/>
    <n v="3"/>
    <n v="127.17"/>
    <m/>
    <s v="in progress"/>
    <s v="Jan"/>
    <s v=""/>
  </r>
  <r>
    <s v="6539f3cb-b98a-4972-94d7-96dbc1d0965d"/>
    <s v="Amber Anderson"/>
    <d v="2024-02-27T00:00:00"/>
    <x v="0"/>
    <x v="1"/>
    <m/>
    <n v="170.75"/>
    <m/>
    <s v="In-Progress"/>
    <s v="Feb"/>
    <s v=""/>
  </r>
  <r>
    <s v="a3c14f89-10e3-46b0-9a10-57a222524381"/>
    <s v="Kenneth Manning"/>
    <d v="2024-08-15T00:00:00"/>
    <x v="3"/>
    <x v="1"/>
    <n v="1"/>
    <n v="135.19999999999999"/>
    <n v="135.19999999999999"/>
    <s v="completed "/>
    <s v="Aug"/>
    <n v="135.19999999999999"/>
  </r>
  <r>
    <s v="cfececd9-b5cf-40ae-b106-d5a4f449a3e2"/>
    <s v="Debra Villarreal"/>
    <d v="2023-07-27T00:00:00"/>
    <x v="2"/>
    <x v="1"/>
    <n v="9"/>
    <n v="147.30000000000001"/>
    <n v="1325.7"/>
    <s v="Completed"/>
    <s v="Jul"/>
    <n v="147.30000000000001"/>
  </r>
  <r>
    <s v="1ea07cf2-342b-4c53-9998-902844ff846b"/>
    <s v="Dawn Hudson"/>
    <d v="2024-02-02T00:00:00"/>
    <x v="3"/>
    <x v="0"/>
    <m/>
    <n v="120.87"/>
    <m/>
    <s v="Cancelled "/>
    <s v="Feb"/>
    <s v=""/>
  </r>
  <r>
    <s v="0deea240-e8d6-4abc-a320-7c7cbf33dc72"/>
    <s v="Joshua Williamson"/>
    <d v="2023-07-09T00:00:00"/>
    <x v="3"/>
    <x v="2"/>
    <n v="1"/>
    <n v="153.03"/>
    <n v="153.03"/>
    <s v="in progress"/>
    <s v="Jul"/>
    <n v="153.03"/>
  </r>
  <r>
    <s v="c3f8689c-f900-41d9-86a2-a8cabc0597d7"/>
    <s v="Autumn Powell"/>
    <d v="2023-12-11T00:00:00"/>
    <x v="3"/>
    <x v="4"/>
    <m/>
    <n v="30.43"/>
    <m/>
    <s v="completed "/>
    <s v="Dec"/>
    <s v=""/>
  </r>
  <r>
    <s v="d21a706c-335c-4776-9101-513a81ed4da0"/>
    <s v="Brian Foster"/>
    <d v="2024-12-09T00:00:00"/>
    <x v="0"/>
    <x v="0"/>
    <m/>
    <n v="105.75"/>
    <m/>
    <s v="Cancelled "/>
    <s v="Dec"/>
    <s v=""/>
  </r>
  <r>
    <s v="b4a76265-a43a-4c97-a96a-de843f95134c"/>
    <s v="Mariah Fernandez"/>
    <d v="2024-01-02T00:00:00"/>
    <x v="0"/>
    <x v="0"/>
    <m/>
    <n v="37.840000000000003"/>
    <m/>
    <s v="In-Progress"/>
    <s v="Jan"/>
    <s v=""/>
  </r>
  <r>
    <s v="2bbd2143-fc7c-47a8-9661-c2f539eeaeb8"/>
    <s v="Bruce Taylor"/>
    <d v="2024-03-04T00:00:00"/>
    <x v="0"/>
    <x v="0"/>
    <n v="5"/>
    <n v="165.84"/>
    <m/>
    <s v="In-Progress"/>
    <s v="Mar"/>
    <s v=""/>
  </r>
  <r>
    <s v="326c1dd2-1111-4e8e-a2aa-0b80cda9fe7a"/>
    <s v="Mary Rose"/>
    <d v="2025-02-24T00:00:00"/>
    <x v="0"/>
    <x v="2"/>
    <n v="6"/>
    <n v="16.52"/>
    <n v="99.12"/>
    <s v="Cancelled "/>
    <s v="Feb"/>
    <n v="16.52"/>
  </r>
  <r>
    <s v="c5e20e8a-0c9e-4f09-ba46-4a6fac215e27"/>
    <s v="Theresa Garcia"/>
    <d v="2024-09-17T00:00:00"/>
    <x v="1"/>
    <x v="4"/>
    <m/>
    <n v="99.1"/>
    <m/>
    <s v="Cancelled "/>
    <s v="Sep"/>
    <s v=""/>
  </r>
  <r>
    <s v="241c0392-11d6-4fb8-9b6c-ed16fc9b1135"/>
    <s v="Jesse Ford"/>
    <d v="2023-08-07T00:00:00"/>
    <x v="3"/>
    <x v="2"/>
    <n v="5"/>
    <n v="36.6"/>
    <n v="183"/>
    <s v="CANCELLED"/>
    <s v="Aug"/>
    <n v="36.6"/>
  </r>
  <r>
    <s v="d7d15c60-f19b-4920-8aed-55185a678f2a"/>
    <s v="Mr. Kenneth Alexander"/>
    <d v="2024-11-02T00:00:00"/>
    <x v="0"/>
    <x v="2"/>
    <n v="4"/>
    <n v="121.12"/>
    <n v="484.48"/>
    <s v="Completed"/>
    <s v="Nov"/>
    <n v="121.12"/>
  </r>
  <r>
    <s v="fdf3455d-278f-4aec-b2eb-8d830cce2197"/>
    <s v="Matthew Wilson"/>
    <d v="2024-01-13T00:00:00"/>
    <x v="4"/>
    <x v="2"/>
    <n v="3"/>
    <n v="161.44"/>
    <n v="484.32"/>
    <s v="CANCELLED"/>
    <s v="Jan"/>
    <n v="161.44"/>
  </r>
  <r>
    <s v="a476e827-aed9-437a-9271-235a25a19226"/>
    <s v="Cory Duran"/>
    <d v="2023-12-09T00:00:00"/>
    <x v="4"/>
    <x v="0"/>
    <m/>
    <n v="39.67"/>
    <m/>
    <s v="Completed"/>
    <s v="Dec"/>
    <s v=""/>
  </r>
  <r>
    <s v="2e49c4ff-909d-4fd6-8dd1-4cef3210adda"/>
    <s v="Kari Johnson"/>
    <d v="2024-01-07T00:00:00"/>
    <x v="2"/>
    <x v="3"/>
    <n v="4"/>
    <n v="41.14"/>
    <n v="164.56"/>
    <s v="completed "/>
    <s v="Jan"/>
    <n v="41.14"/>
  </r>
  <r>
    <s v="5ccd714d-92ff-4263-9c04-3f5d0b7cad87"/>
    <s v="Joe Newman"/>
    <d v="2024-12-22T00:00:00"/>
    <x v="3"/>
    <x v="1"/>
    <n v="9"/>
    <n v="69.81"/>
    <n v="628.29"/>
    <s v="in progress"/>
    <s v="Dec"/>
    <n v="69.81"/>
  </r>
  <r>
    <s v="c0a5af9e-a366-4b07-bb3b-9303b81d8076"/>
    <s v="Darlene Lee"/>
    <d v="2024-07-26T00:00:00"/>
    <x v="4"/>
    <x v="0"/>
    <m/>
    <n v="20.39"/>
    <m/>
    <s v="Cancelled "/>
    <s v="Jul"/>
    <s v=""/>
  </r>
  <r>
    <s v="3aba945f-ecf6-459c-9661-8230cc65806c"/>
    <s v="Jennifer Wilson"/>
    <d v="2024-03-12T00:00:00"/>
    <x v="4"/>
    <x v="4"/>
    <n v="9"/>
    <n v="51.68"/>
    <n v="465.12"/>
    <s v="Completed"/>
    <s v="Mar"/>
    <n v="51.68"/>
  </r>
  <r>
    <s v="4b2fcdd6-6094-4985-974e-6ab1317a88f4"/>
    <s v="Rebecca Santana"/>
    <d v="2023-10-17T00:00:00"/>
    <x v="2"/>
    <x v="1"/>
    <n v="1"/>
    <n v="102.33"/>
    <n v="102.33"/>
    <s v="completed "/>
    <s v="Oct"/>
    <n v="102.33"/>
  </r>
  <r>
    <s v="5ee1a4d1-b756-4a47-bb59-718ac4465afc"/>
    <s v="Ashley Evans"/>
    <d v="2023-07-21T00:00:00"/>
    <x v="0"/>
    <x v="3"/>
    <m/>
    <n v="78.88"/>
    <m/>
    <s v="CANCELLED"/>
    <s v="Jul"/>
    <s v=""/>
  </r>
  <r>
    <s v="e2ae6218-3734-4965-ae4f-a00488091fc9"/>
    <s v="Joseph Chavez"/>
    <d v="2024-07-01T00:00:00"/>
    <x v="4"/>
    <x v="3"/>
    <m/>
    <n v="142.84"/>
    <m/>
    <s v="In-Progress"/>
    <s v="Jul"/>
    <s v=""/>
  </r>
  <r>
    <s v="bc194f86-5677-45d7-bb28-2fe0dee5b630"/>
    <s v="Sally Johnson"/>
    <d v="2024-02-10T00:00:00"/>
    <x v="1"/>
    <x v="1"/>
    <m/>
    <n v="149.83000000000001"/>
    <m/>
    <s v="Cancelled "/>
    <s v="Feb"/>
    <s v=""/>
  </r>
  <r>
    <s v="9e622ef5-a88c-4c8c-a1bb-14ea5f879f47"/>
    <s v="Jeanette Sanchez"/>
    <d v="2023-07-22T00:00:00"/>
    <x v="0"/>
    <x v="4"/>
    <n v="6"/>
    <n v="31.26"/>
    <n v="187.56"/>
    <s v="Cancelled "/>
    <s v="Jul"/>
    <n v="31.26"/>
  </r>
  <r>
    <s v="700ecc72-3aae-427e-958c-cfbc99103064"/>
    <s v="Jason Hardin"/>
    <d v="2023-06-20T00:00:00"/>
    <x v="0"/>
    <x v="3"/>
    <m/>
    <n v="94.81"/>
    <m/>
    <s v="In-Progress"/>
    <s v="Jun"/>
    <s v=""/>
  </r>
  <r>
    <s v="3cfb4354-96b7-47bd-a995-0781553aaea1"/>
    <s v="Heidi Davis"/>
    <d v="2024-04-26T00:00:00"/>
    <x v="3"/>
    <x v="0"/>
    <m/>
    <n v="197.97"/>
    <m/>
    <s v="In-Progress"/>
    <s v="Apr"/>
    <s v=""/>
  </r>
  <r>
    <s v="06a3affe-f123-4acf-8a32-dcd13074ffaa"/>
    <s v="Julie Jones"/>
    <d v="2024-02-25T00:00:00"/>
    <x v="1"/>
    <x v="0"/>
    <n v="9"/>
    <n v="131.15"/>
    <n v="1180.3499999999999"/>
    <s v="CANCELLED"/>
    <s v="Feb"/>
    <n v="131.14999999999998"/>
  </r>
  <r>
    <s v="38e0445d-fd2c-4bee-8ab8-3bb2f4c687f8"/>
    <s v="Devon Johnson"/>
    <d v="2023-11-15T00:00:00"/>
    <x v="3"/>
    <x v="0"/>
    <n v="8"/>
    <n v="177.37"/>
    <n v="1418.96"/>
    <s v="Cancelled "/>
    <s v="Nov"/>
    <n v="177.37"/>
  </r>
  <r>
    <s v="267c8bde-77d7-4f60-873b-d2b816407399"/>
    <s v="Jonathan Payne"/>
    <d v="2023-10-19T00:00:00"/>
    <x v="0"/>
    <x v="1"/>
    <m/>
    <n v="56.71"/>
    <m/>
    <s v="In-Progress"/>
    <s v="Oct"/>
    <s v=""/>
  </r>
  <r>
    <s v="6550073f-7065-400e-875e-bf632c3b54c7"/>
    <s v="Joel Merritt"/>
    <d v="2023-05-12T00:00:00"/>
    <x v="4"/>
    <x v="0"/>
    <m/>
    <n v="149.19999999999999"/>
    <m/>
    <s v="in progress"/>
    <s v="May"/>
    <s v=""/>
  </r>
  <r>
    <s v="77690d86-f59f-4736-bc90-4c04215bdf39"/>
    <s v="Melissa Robinson"/>
    <d v="2025-04-12T00:00:00"/>
    <x v="2"/>
    <x v="1"/>
    <m/>
    <n v="71.69"/>
    <m/>
    <s v="In-Progress"/>
    <s v="Apr"/>
    <s v=""/>
  </r>
  <r>
    <s v="76625232-d482-420c-81a7-9e11973ea1d7"/>
    <s v="Christopher Lee DDS"/>
    <d v="2024-10-06T00:00:00"/>
    <x v="0"/>
    <x v="2"/>
    <n v="8"/>
    <n v="198.76"/>
    <n v="1590.08"/>
    <s v="In-Progress"/>
    <s v="Oct"/>
    <n v="198.76"/>
  </r>
  <r>
    <s v="179b3f79-2caa-4c8e-a38b-5822bef1cd75"/>
    <s v="Darren Hoover"/>
    <d v="2023-10-22T00:00:00"/>
    <x v="1"/>
    <x v="3"/>
    <n v="4"/>
    <n v="186.15"/>
    <n v="744.6"/>
    <s v="CANCELLED"/>
    <s v="Oct"/>
    <n v="186.15"/>
  </r>
  <r>
    <s v="fa5d6fa6-25ab-43dd-b1d5-4373157d9442"/>
    <s v="Mary Wilson"/>
    <d v="2024-03-09T00:00:00"/>
    <x v="0"/>
    <x v="0"/>
    <n v="8"/>
    <n v="142.13999999999999"/>
    <n v="1137.1199999999999"/>
    <s v="Completed"/>
    <s v="Mar"/>
    <n v="142.13999999999999"/>
  </r>
  <r>
    <s v="f898c3db-253a-4bab-8107-73e0967db964"/>
    <s v="Jason Smith"/>
    <d v="2023-10-21T00:00:00"/>
    <x v="0"/>
    <x v="3"/>
    <n v="2"/>
    <n v="138.65"/>
    <n v="277.3"/>
    <s v="Cancelled "/>
    <s v="Oct"/>
    <n v="138.65"/>
  </r>
  <r>
    <s v="cacd24c7-98f2-4827-a790-0f9a925ca7c1"/>
    <s v="Michael Hutchinson"/>
    <d v="2023-12-15T00:00:00"/>
    <x v="0"/>
    <x v="3"/>
    <n v="5"/>
    <n v="57.97"/>
    <n v="289.85000000000002"/>
    <s v="Completed"/>
    <s v="Dec"/>
    <n v="57.970000000000006"/>
  </r>
  <r>
    <s v="16be9e95-30b7-4937-9f86-52d80e53a421"/>
    <s v="Victoria Ross"/>
    <d v="2023-09-26T00:00:00"/>
    <x v="0"/>
    <x v="0"/>
    <m/>
    <n v="49.34"/>
    <m/>
    <s v="Cancelled "/>
    <s v="Sep"/>
    <s v=""/>
  </r>
  <r>
    <s v="ddf870e3-d8f5-4300-b755-443d750d0c97"/>
    <s v="Miguel Harrington"/>
    <d v="2025-04-17T00:00:00"/>
    <x v="0"/>
    <x v="1"/>
    <m/>
    <n v="185.54"/>
    <m/>
    <s v="CANCELLED"/>
    <s v="Apr"/>
    <s v=""/>
  </r>
  <r>
    <s v="c2805780-81df-440f-b57c-ecae200fa568"/>
    <s v="Donald Walton"/>
    <d v="2024-12-16T00:00:00"/>
    <x v="0"/>
    <x v="4"/>
    <n v="6"/>
    <n v="149"/>
    <m/>
    <s v="In-Progress"/>
    <s v="Dec"/>
    <s v=""/>
  </r>
  <r>
    <s v="fce41c66-8d9e-450e-a701-3af124aac614"/>
    <s v="Tracy Lopez"/>
    <d v="2023-07-07T00:00:00"/>
    <x v="2"/>
    <x v="3"/>
    <n v="1"/>
    <n v="87.62"/>
    <m/>
    <s v="In-Progress"/>
    <s v="Jul"/>
    <s v=""/>
  </r>
  <r>
    <s v="f15a5004-5564-4470-8c88-bedb65eb8f2e"/>
    <s v="Bridget Chandler"/>
    <d v="2024-02-09T00:00:00"/>
    <x v="1"/>
    <x v="1"/>
    <m/>
    <n v="63.94"/>
    <m/>
    <s v="in progress"/>
    <s v="Feb"/>
    <s v=""/>
  </r>
  <r>
    <s v="3745ace0-99a0-4aed-afd1-96c64e488ab8"/>
    <s v="Laura Le"/>
    <d v="2023-10-11T00:00:00"/>
    <x v="3"/>
    <x v="3"/>
    <m/>
    <n v="96.64"/>
    <m/>
    <s v="in progress"/>
    <s v="Oct"/>
    <s v=""/>
  </r>
  <r>
    <s v="f3df99f1-5040-4bce-9c23-9bc4295ebd38"/>
    <s v="Amy Avila"/>
    <d v="2024-05-18T00:00:00"/>
    <x v="0"/>
    <x v="4"/>
    <n v="5"/>
    <n v="50.63"/>
    <n v="253.15"/>
    <s v="completed "/>
    <s v="May"/>
    <n v="50.63"/>
  </r>
  <r>
    <s v="81188d0e-d270-49bd-b3d7-a2ab0d461512"/>
    <s v="Timothy Orr"/>
    <d v="2023-12-06T00:00:00"/>
    <x v="3"/>
    <x v="3"/>
    <m/>
    <n v="101.9"/>
    <m/>
    <s v="Cancelled "/>
    <s v="Dec"/>
    <s v=""/>
  </r>
  <r>
    <s v="8fda5c76-cc1d-41ab-a978-ff8ffe622d5f"/>
    <s v="Ashley Thomas"/>
    <d v="2023-12-05T00:00:00"/>
    <x v="3"/>
    <x v="4"/>
    <n v="3"/>
    <n v="114.23"/>
    <n v="342.69"/>
    <s v="completed "/>
    <s v="Dec"/>
    <n v="114.23"/>
  </r>
  <r>
    <s v="d0feff26-e5f2-4332-ac51-49cafe518301"/>
    <s v="Nicole Campos"/>
    <d v="2023-10-20T00:00:00"/>
    <x v="3"/>
    <x v="3"/>
    <m/>
    <n v="99.74"/>
    <m/>
    <s v="CANCELLED"/>
    <s v="Oct"/>
    <s v=""/>
  </r>
  <r>
    <s v="b1feb39b-51ae-4004-b13a-62596b54006d"/>
    <s v="Jesse Oconnor"/>
    <d v="2024-10-12T00:00:00"/>
    <x v="2"/>
    <x v="3"/>
    <n v="2"/>
    <n v="46.13"/>
    <n v="92.26"/>
    <s v="Completed"/>
    <s v="Oct"/>
    <n v="46.13"/>
  </r>
  <r>
    <s v="6be0f76a-43df-4b5e-95fd-e7099338370b"/>
    <s v="David Young"/>
    <d v="2023-09-20T00:00:00"/>
    <x v="1"/>
    <x v="1"/>
    <n v="3"/>
    <n v="180.74"/>
    <n v="542.22"/>
    <s v="Completed"/>
    <s v="Sep"/>
    <n v="180.74"/>
  </r>
  <r>
    <s v="56165ea8-2859-47d8-bd56-8a496a6eb302"/>
    <s v="Pamela Hawkins"/>
    <d v="2023-09-02T00:00:00"/>
    <x v="2"/>
    <x v="0"/>
    <m/>
    <n v="20.59"/>
    <m/>
    <s v="completed "/>
    <s v="Sep"/>
    <s v=""/>
  </r>
  <r>
    <s v="394093aa-401c-4f5b-9ab0-15ad984ed4e3"/>
    <s v="Nancy Andrade"/>
    <d v="2024-10-01T00:00:00"/>
    <x v="0"/>
    <x v="2"/>
    <n v="9"/>
    <n v="167.78"/>
    <n v="1510.02"/>
    <s v="in progress"/>
    <s v="Oct"/>
    <n v="167.78"/>
  </r>
  <r>
    <s v="5437b74f-99ba-4aa9-9368-6958ddcdf33c"/>
    <s v="Jason Yu"/>
    <d v="2023-11-21T00:00:00"/>
    <x v="0"/>
    <x v="4"/>
    <n v="2"/>
    <n v="114.61"/>
    <n v="229.22"/>
    <s v="in progress"/>
    <s v="Nov"/>
    <n v="114.61"/>
  </r>
  <r>
    <s v="070af629-c8bf-4be5-97e6-7a88f728db3e"/>
    <s v="Judith Hall"/>
    <d v="2024-08-19T00:00:00"/>
    <x v="3"/>
    <x v="4"/>
    <n v="8"/>
    <n v="178.41"/>
    <n v="1427.28"/>
    <s v="In-Progress"/>
    <s v="Aug"/>
    <n v="178.41"/>
  </r>
  <r>
    <s v="ebd7af26-fd40-4fc4-8470-502499110aca"/>
    <s v="Ashley Rosales"/>
    <d v="2025-01-19T00:00:00"/>
    <x v="0"/>
    <x v="3"/>
    <m/>
    <n v="91.31"/>
    <m/>
    <s v="completed "/>
    <s v="Jan"/>
    <s v=""/>
  </r>
  <r>
    <s v="a5781240-66c9-463a-8847-5032a9c7d978"/>
    <s v="Charles Pierce"/>
    <d v="2025-02-15T00:00:00"/>
    <x v="4"/>
    <x v="1"/>
    <n v="5"/>
    <n v="99.65"/>
    <n v="498.25"/>
    <s v="In-Progress"/>
    <s v="Feb"/>
    <n v="99.65"/>
  </r>
  <r>
    <s v="f0aa170a-c0b9-45fc-88b5-a3d40e801994"/>
    <s v="Meagan Bowman"/>
    <d v="2024-08-24T00:00:00"/>
    <x v="0"/>
    <x v="1"/>
    <m/>
    <n v="10.97"/>
    <m/>
    <s v="completed "/>
    <s v="Aug"/>
    <s v=""/>
  </r>
  <r>
    <s v="4de8bfa4-b592-4026-a122-31c17ab57b13"/>
    <s v="Katie Hernandez"/>
    <d v="2023-05-20T00:00:00"/>
    <x v="0"/>
    <x v="4"/>
    <m/>
    <n v="76.37"/>
    <m/>
    <s v="in progress"/>
    <s v="May"/>
    <s v=""/>
  </r>
  <r>
    <s v="e731eca3-361d-4c3b-a7d4-7ca78d29bbbd"/>
    <s v="Angela Willis"/>
    <d v="2024-11-27T00:00:00"/>
    <x v="3"/>
    <x v="3"/>
    <m/>
    <n v="29.2"/>
    <m/>
    <s v="Cancelled "/>
    <s v="Nov"/>
    <s v=""/>
  </r>
  <r>
    <s v="a9aa5401-e269-41dd-b065-8af6609b39af"/>
    <s v="Lisa Schmitt"/>
    <d v="2023-07-27T00:00:00"/>
    <x v="2"/>
    <x v="1"/>
    <m/>
    <n v="70.819999999999993"/>
    <m/>
    <s v="completed "/>
    <s v="Jul"/>
    <s v=""/>
  </r>
  <r>
    <s v="3746c007-ce2e-4c10-bb47-08a546efa7a7"/>
    <s v="Bryan Hill"/>
    <d v="2023-12-11T00:00:00"/>
    <x v="2"/>
    <x v="4"/>
    <m/>
    <n v="120.39"/>
    <m/>
    <s v="Cancelled "/>
    <s v="Dec"/>
    <s v=""/>
  </r>
  <r>
    <s v="cf51f8fd-ed06-4276-a5fc-9a2dd1123e27"/>
    <s v="Hannah Coleman"/>
    <d v="2024-11-14T00:00:00"/>
    <x v="4"/>
    <x v="1"/>
    <m/>
    <n v="30.52"/>
    <m/>
    <s v="Completed"/>
    <s v="Nov"/>
    <s v=""/>
  </r>
  <r>
    <s v="331c1a11-7185-4e7b-bc83-c2695774d539"/>
    <s v="Paul Merritt"/>
    <d v="2024-10-19T00:00:00"/>
    <x v="0"/>
    <x v="0"/>
    <m/>
    <n v="145.63999999999999"/>
    <m/>
    <s v="In-Progress"/>
    <s v="Oct"/>
    <s v=""/>
  </r>
  <r>
    <s v="d44ad4b5-4ba0-4c25-abfe-92bf88eb8f86"/>
    <s v="Shelly Gentry"/>
    <d v="2024-01-20T00:00:00"/>
    <x v="1"/>
    <x v="4"/>
    <m/>
    <n v="90.34"/>
    <m/>
    <s v="completed "/>
    <s v="Jan"/>
    <s v=""/>
  </r>
  <r>
    <s v="1f246bf2-bc9f-4b2a-a60e-998e8e3022f7"/>
    <s v="Barbara Calhoun"/>
    <d v="2024-12-11T00:00:00"/>
    <x v="1"/>
    <x v="3"/>
    <n v="9"/>
    <n v="84.73"/>
    <n v="762.57"/>
    <s v="Cancelled "/>
    <s v="Dec"/>
    <n v="84.73"/>
  </r>
  <r>
    <s v="a4169e3d-2ec8-4618-b9e1-0d33667b5f6b"/>
    <s v="Marcus Estrada"/>
    <d v="2024-08-11T00:00:00"/>
    <x v="0"/>
    <x v="2"/>
    <n v="6"/>
    <n v="108.23"/>
    <n v="649.38"/>
    <s v="CANCELLED"/>
    <s v="Aug"/>
    <n v="108.23"/>
  </r>
  <r>
    <s v="0367ebd4-be32-4983-8bfb-210da7d4a55b"/>
    <s v="Tiffany Kerr"/>
    <d v="2025-04-23T00:00:00"/>
    <x v="4"/>
    <x v="2"/>
    <m/>
    <n v="39.08"/>
    <m/>
    <s v="in progress"/>
    <s v="Apr"/>
    <s v=""/>
  </r>
  <r>
    <s v="7bb8b08b-ad7c-4f39-b6c9-bfa7386dae7d"/>
    <s v="Adrian Yoder"/>
    <d v="2024-03-19T00:00:00"/>
    <x v="0"/>
    <x v="2"/>
    <m/>
    <n v="199.35"/>
    <m/>
    <s v="CANCELLED"/>
    <s v="Mar"/>
    <s v=""/>
  </r>
  <r>
    <s v="bc53129d-fe95-4da4-9076-06ff61689c05"/>
    <s v="Vincent Harvey"/>
    <d v="2024-04-25T00:00:00"/>
    <x v="2"/>
    <x v="1"/>
    <n v="2"/>
    <n v="171.55"/>
    <n v="343.1"/>
    <s v="Cancelled "/>
    <s v="Apr"/>
    <n v="171.55"/>
  </r>
  <r>
    <s v="c60c328d-48d4-4c76-8001-f0358cac6ba1"/>
    <s v="Wendy Young"/>
    <d v="2023-09-30T00:00:00"/>
    <x v="0"/>
    <x v="2"/>
    <n v="9"/>
    <n v="19.899999999999999"/>
    <n v="179.1"/>
    <s v="In-Progress"/>
    <s v="Sep"/>
    <n v="19.899999999999999"/>
  </r>
  <r>
    <s v="ea4372b7-96cf-4f63-b479-7db669bc3737"/>
    <s v="Veronica Porter"/>
    <d v="2025-03-05T00:00:00"/>
    <x v="3"/>
    <x v="0"/>
    <m/>
    <n v="75.33"/>
    <m/>
    <s v="In-Progress"/>
    <s v="Mar"/>
    <s v=""/>
  </r>
  <r>
    <s v="81a0170f-f733-454b-864a-ff458302741f"/>
    <s v="Ruben Sims"/>
    <d v="2025-01-08T00:00:00"/>
    <x v="0"/>
    <x v="0"/>
    <n v="1"/>
    <n v="164.85"/>
    <n v="164.85"/>
    <s v="Completed"/>
    <s v="Jan"/>
    <n v="164.85"/>
  </r>
  <r>
    <s v="a3d81f9b-d493-465c-9664-b9aeb2801ae3"/>
    <s v="Robert Schroeder"/>
    <d v="2024-07-27T00:00:00"/>
    <x v="0"/>
    <x v="0"/>
    <m/>
    <n v="198.77"/>
    <m/>
    <s v="in progress"/>
    <s v="Jul"/>
    <s v=""/>
  </r>
  <r>
    <s v="cb99a5ec-39da-498e-8fa3-8220a852858b"/>
    <s v="Melissa Benson"/>
    <d v="2024-06-08T00:00:00"/>
    <x v="4"/>
    <x v="2"/>
    <n v="7"/>
    <n v="100.21"/>
    <n v="701.47"/>
    <s v="completed "/>
    <s v="Jun"/>
    <n v="100.21000000000001"/>
  </r>
  <r>
    <s v="0f2aaac0-715e-4b0f-8994-e1f35a1fe6b7"/>
    <s v="Eric Cook"/>
    <d v="2025-02-19T00:00:00"/>
    <x v="0"/>
    <x v="0"/>
    <n v="6"/>
    <n v="54.96"/>
    <n v="329.76"/>
    <s v="in progress"/>
    <s v="Feb"/>
    <n v="54.96"/>
  </r>
  <r>
    <s v="8e0ab7c9-07da-44b5-b8c1-42f9b2fa2aad"/>
    <s v="Luis Miller"/>
    <d v="2023-12-30T00:00:00"/>
    <x v="0"/>
    <x v="3"/>
    <n v="1"/>
    <n v="194.22"/>
    <n v="194.22"/>
    <s v="CANCELLED"/>
    <s v="Dec"/>
    <n v="194.22"/>
  </r>
  <r>
    <s v="5de833dd-8d55-4f12-a3c6-3c3bc4d83264"/>
    <s v="Michael Randall"/>
    <d v="2023-05-24T00:00:00"/>
    <x v="1"/>
    <x v="0"/>
    <m/>
    <n v="50.72"/>
    <m/>
    <s v="Completed"/>
    <s v="May"/>
    <s v=""/>
  </r>
  <r>
    <s v="be9e8649-7360-4038-91c1-e5a8d86b7627"/>
    <s v="Brooke Gonzales"/>
    <d v="2024-06-09T00:00:00"/>
    <x v="0"/>
    <x v="1"/>
    <n v="5"/>
    <n v="171.21"/>
    <n v="856.05"/>
    <s v="in progress"/>
    <s v="Jun"/>
    <n v="171.20999999999998"/>
  </r>
  <r>
    <s v="30248d91-0e25-4837-961d-6ac5d0fd04d8"/>
    <s v="Gloria Hubbard"/>
    <d v="2024-06-14T00:00:00"/>
    <x v="2"/>
    <x v="0"/>
    <m/>
    <n v="60.48"/>
    <m/>
    <s v="in progress"/>
    <s v="Jun"/>
    <s v=""/>
  </r>
  <r>
    <s v="d8c0bb7f-0f0a-4f95-9f28-51e848b08515"/>
    <s v="Thomas Davis"/>
    <d v="2023-06-29T00:00:00"/>
    <x v="3"/>
    <x v="1"/>
    <m/>
    <n v="88.51"/>
    <m/>
    <s v="in progress"/>
    <s v="Jun"/>
    <s v=""/>
  </r>
  <r>
    <s v="821d8b23-8612-4b09-9ae8-9ed604686c4d"/>
    <s v="Thomas Green"/>
    <d v="2023-09-02T00:00:00"/>
    <x v="4"/>
    <x v="4"/>
    <n v="5"/>
    <n v="89.68"/>
    <n v="448.4"/>
    <s v="In-Progress"/>
    <s v="Sep"/>
    <n v="89.679999999999993"/>
  </r>
  <r>
    <s v="fb68affd-dd6f-47d7-a74d-681d8fe8a9b3"/>
    <s v="Sean Richardson"/>
    <d v="2025-02-01T00:00:00"/>
    <x v="1"/>
    <x v="2"/>
    <m/>
    <n v="189"/>
    <m/>
    <s v="completed "/>
    <s v="Feb"/>
    <s v=""/>
  </r>
  <r>
    <s v="a41b5347-520e-4b05-b11e-05918fe4f09e"/>
    <s v="Andrew Martinez"/>
    <d v="2024-05-20T00:00:00"/>
    <x v="1"/>
    <x v="1"/>
    <m/>
    <n v="71.22"/>
    <m/>
    <s v="In-Progress"/>
    <s v="May"/>
    <s v=""/>
  </r>
  <r>
    <s v="43706671-b327-47ee-9b4f-7d42ed00e907"/>
    <s v="Samuel Jones"/>
    <d v="2023-05-08T00:00:00"/>
    <x v="2"/>
    <x v="4"/>
    <m/>
    <n v="148.49"/>
    <m/>
    <s v="completed "/>
    <s v="May"/>
    <s v=""/>
  </r>
  <r>
    <s v="b0202c17-6485-4416-9109-b29981ab901f"/>
    <s v="Chelsea Franklin"/>
    <d v="2024-01-09T00:00:00"/>
    <x v="1"/>
    <x v="4"/>
    <m/>
    <n v="97.4"/>
    <m/>
    <s v="Completed"/>
    <s v="Jan"/>
    <s v=""/>
  </r>
  <r>
    <s v="56b89a7f-bd48-4c79-bc1e-f650150644fb"/>
    <s v="Eric Steele"/>
    <d v="2025-04-30T00:00:00"/>
    <x v="2"/>
    <x v="3"/>
    <m/>
    <n v="42.46"/>
    <m/>
    <s v="CANCELLED"/>
    <s v="Apr"/>
    <s v=""/>
  </r>
  <r>
    <s v="ae8f2a5d-66eb-454c-9f15-5e5f4a3385c1"/>
    <s v="Jessica Moore"/>
    <d v="2024-11-03T00:00:00"/>
    <x v="2"/>
    <x v="1"/>
    <n v="1"/>
    <n v="122.29"/>
    <n v="122.29"/>
    <s v="completed "/>
    <s v="Nov"/>
    <n v="122.29"/>
  </r>
  <r>
    <s v="6cbf2814-71d4-4421-aa80-ddd796fb86a7"/>
    <s v="Jared Parsons"/>
    <d v="2023-06-25T00:00:00"/>
    <x v="1"/>
    <x v="0"/>
    <n v="5"/>
    <n v="184.32"/>
    <n v="921.6"/>
    <s v="Completed"/>
    <s v="Jun"/>
    <n v="184.32"/>
  </r>
  <r>
    <s v="1d271034-3f05-4c4b-9df7-100597b44cba"/>
    <s v="Paul Kennedy"/>
    <d v="2023-08-13T00:00:00"/>
    <x v="0"/>
    <x v="0"/>
    <n v="9"/>
    <n v="112.02"/>
    <n v="1008.18"/>
    <s v="in progress"/>
    <s v="Aug"/>
    <n v="112.02"/>
  </r>
  <r>
    <s v="55807821-57f2-4490-b652-434c83c7e341"/>
    <s v="Zachary Gomez"/>
    <d v="2024-09-23T00:00:00"/>
    <x v="3"/>
    <x v="3"/>
    <m/>
    <n v="121.46"/>
    <m/>
    <s v="in progress"/>
    <s v="Sep"/>
    <s v=""/>
  </r>
  <r>
    <s v="647330bd-6b48-4a23-bc2b-16f4a86e22af"/>
    <s v="Michael Villegas"/>
    <d v="2024-07-25T00:00:00"/>
    <x v="3"/>
    <x v="4"/>
    <n v="3"/>
    <n v="124.49"/>
    <n v="373.47"/>
    <s v="Completed"/>
    <s v="Jul"/>
    <n v="124.49000000000001"/>
  </r>
  <r>
    <s v="f99b13c3-34cc-444a-ad88-365eba080f6f"/>
    <s v="Keith Barnes"/>
    <d v="2023-12-31T00:00:00"/>
    <x v="3"/>
    <x v="1"/>
    <n v="4"/>
    <n v="98.06"/>
    <n v="392.24"/>
    <s v="CANCELLED"/>
    <s v="Dec"/>
    <n v="98.06"/>
  </r>
  <r>
    <s v="fe5e2959-49a4-4aa4-a122-d6900001e9c2"/>
    <s v="Mrs. Christina Smith"/>
    <d v="2025-04-22T00:00:00"/>
    <x v="1"/>
    <x v="3"/>
    <m/>
    <n v="106.96"/>
    <m/>
    <s v="completed "/>
    <s v="Apr"/>
    <s v=""/>
  </r>
  <r>
    <s v="5e8ae2e2-598a-4e97-aa36-fcb3325db30b"/>
    <s v="John Moss"/>
    <d v="2024-07-28T00:00:00"/>
    <x v="2"/>
    <x v="2"/>
    <m/>
    <n v="55.32"/>
    <m/>
    <s v="Completed"/>
    <s v="Jul"/>
    <s v=""/>
  </r>
  <r>
    <s v="116cc056-3d69-483f-8886-e9942bd3929b"/>
    <s v="Mark Shaw"/>
    <d v="2025-03-18T00:00:00"/>
    <x v="4"/>
    <x v="2"/>
    <m/>
    <n v="129.61000000000001"/>
    <m/>
    <s v="in progress"/>
    <s v="Mar"/>
    <s v=""/>
  </r>
  <r>
    <s v="c01f4edd-da2d-4e78-bb45-c444a68173a7"/>
    <s v="Lisa Anderson"/>
    <d v="2023-11-11T00:00:00"/>
    <x v="3"/>
    <x v="3"/>
    <m/>
    <n v="24.55"/>
    <m/>
    <s v="Cancelled "/>
    <s v="Nov"/>
    <s v=""/>
  </r>
  <r>
    <s v="42fa686c-c6da-4c9e-a388-95d94e856a21"/>
    <s v="Victoria Richards"/>
    <d v="2024-08-17T00:00:00"/>
    <x v="3"/>
    <x v="3"/>
    <n v="8"/>
    <n v="92.3"/>
    <n v="738.4"/>
    <s v="In-Progress"/>
    <s v="Aug"/>
    <n v="92.3"/>
  </r>
  <r>
    <s v="73a3b73c-8d6f-4f02-806f-f45fd866581a"/>
    <s v="Gregory Patterson"/>
    <d v="2023-06-22T00:00:00"/>
    <x v="0"/>
    <x v="0"/>
    <m/>
    <n v="113.88"/>
    <m/>
    <s v="in progress"/>
    <s v="Jun"/>
    <s v=""/>
  </r>
  <r>
    <s v="e3f36307-6907-4120-b943-32b6977fdba2"/>
    <s v="Jessica Hanson"/>
    <d v="2025-04-15T00:00:00"/>
    <x v="4"/>
    <x v="2"/>
    <n v="2"/>
    <n v="52.86"/>
    <n v="105.72"/>
    <s v="in progress"/>
    <s v="Apr"/>
    <n v="52.86"/>
  </r>
  <r>
    <s v="e0d5311b-c2d8-487b-a0f4-9e6ca786efd3"/>
    <s v="Daisy Kennedy"/>
    <d v="2024-06-28T00:00:00"/>
    <x v="3"/>
    <x v="2"/>
    <m/>
    <n v="112.88"/>
    <m/>
    <s v="CANCELLED"/>
    <s v="Jun"/>
    <s v=""/>
  </r>
  <r>
    <s v="e12eb15c-e2f2-4c0e-a69c-81df29086e47"/>
    <s v="Brandy Dickson"/>
    <d v="2025-03-12T00:00:00"/>
    <x v="2"/>
    <x v="2"/>
    <n v="6"/>
    <n v="52.15"/>
    <n v="312.89999999999998"/>
    <s v="in progress"/>
    <s v="Mar"/>
    <n v="52.15"/>
  </r>
  <r>
    <s v="d48ac23f-c802-43fc-9641-1b14b6086f4d"/>
    <s v="Zachary Hernandez"/>
    <d v="2024-03-22T00:00:00"/>
    <x v="3"/>
    <x v="2"/>
    <n v="3"/>
    <n v="46.93"/>
    <n v="140.79"/>
    <s v="Completed"/>
    <s v="Mar"/>
    <n v="46.93"/>
  </r>
  <r>
    <s v="dc6d00bd-9d6d-4820-82f5-1c2c84ea3a64"/>
    <s v="Melissa Harvey"/>
    <d v="2024-01-08T00:00:00"/>
    <x v="2"/>
    <x v="3"/>
    <n v="2"/>
    <n v="91.25"/>
    <n v="182.5"/>
    <s v="Completed"/>
    <s v="Jan"/>
    <n v="91.25"/>
  </r>
  <r>
    <s v="9b25db3c-dbf4-44cd-a891-ca60ea593a83"/>
    <s v="Tammy Brown MD"/>
    <d v="2024-09-15T00:00:00"/>
    <x v="1"/>
    <x v="0"/>
    <m/>
    <n v="87.87"/>
    <m/>
    <s v="completed "/>
    <s v="Sep"/>
    <s v=""/>
  </r>
  <r>
    <s v="991a308d-8c3b-41e0-af48-e84c5b3c3601"/>
    <s v="Anthony Cowan"/>
    <d v="2024-05-05T00:00:00"/>
    <x v="3"/>
    <x v="3"/>
    <n v="6"/>
    <n v="187.3"/>
    <n v="1123.8"/>
    <s v="completed "/>
    <s v="May"/>
    <n v="187.29999999999998"/>
  </r>
  <r>
    <s v="516bd874-616a-4e15-b3cc-7f0fa52d36ba"/>
    <s v="Katie Daniel"/>
    <d v="2023-06-20T00:00:00"/>
    <x v="0"/>
    <x v="2"/>
    <n v="5"/>
    <n v="159.74"/>
    <n v="798.7"/>
    <s v="In-Progress"/>
    <s v="Jun"/>
    <n v="159.74"/>
  </r>
  <r>
    <s v="c79534a9-d0c3-4953-b17e-9ea2462f801f"/>
    <s v="Cheryl Winters DDS"/>
    <d v="2024-09-15T00:00:00"/>
    <x v="4"/>
    <x v="0"/>
    <n v="9"/>
    <n v="97.51"/>
    <n v="877.59"/>
    <s v="in progress"/>
    <s v="Sep"/>
    <n v="97.51"/>
  </r>
  <r>
    <s v="0cddccd7-b7ab-4e1f-a2e9-28f9375d4129"/>
    <s v="Christopher Sanchez"/>
    <d v="2024-11-12T00:00:00"/>
    <x v="0"/>
    <x v="0"/>
    <n v="1"/>
    <n v="75.31"/>
    <n v="75.31"/>
    <s v="CANCELLED"/>
    <s v="Nov"/>
    <n v="75.31"/>
  </r>
  <r>
    <s v="3f9340ee-5200-4c4f-9a65-1d86f20cea5a"/>
    <s v="Amy Pennington"/>
    <d v="2024-02-02T00:00:00"/>
    <x v="4"/>
    <x v="1"/>
    <n v="7"/>
    <n v="109.16"/>
    <n v="764.12"/>
    <s v="in progress"/>
    <s v="Feb"/>
    <n v="109.16"/>
  </r>
  <r>
    <s v="32889b5a-9e47-415e-b6d9-5baed20f596e"/>
    <s v="Dale Henderson"/>
    <d v="2023-07-24T00:00:00"/>
    <x v="4"/>
    <x v="0"/>
    <m/>
    <n v="60.07"/>
    <m/>
    <s v="CANCELLED"/>
    <s v="Jul"/>
    <s v=""/>
  </r>
  <r>
    <s v="f274c587-7666-4052-bf17-47bf5a9b4438"/>
    <s v="Robert Richardson"/>
    <d v="2023-11-01T00:00:00"/>
    <x v="3"/>
    <x v="2"/>
    <n v="5"/>
    <n v="158.94999999999999"/>
    <n v="794.75"/>
    <s v="In-Progress"/>
    <s v="Nov"/>
    <n v="158.94999999999999"/>
  </r>
  <r>
    <s v="95455ea4-fe12-4cf9-9c3f-1679844136a1"/>
    <s v="Charles Berry"/>
    <d v="2024-04-21T00:00:00"/>
    <x v="3"/>
    <x v="1"/>
    <m/>
    <n v="54.84"/>
    <m/>
    <s v="CANCELLED"/>
    <s v="Apr"/>
    <s v=""/>
  </r>
  <r>
    <s v="d9e2b2ce-9662-490c-a6e4-49ad4395ed1d"/>
    <s v="Michele Dixon"/>
    <d v="2023-06-17T00:00:00"/>
    <x v="1"/>
    <x v="3"/>
    <n v="3"/>
    <n v="110.79"/>
    <n v="332.37"/>
    <s v="Cancelled "/>
    <s v="Jun"/>
    <n v="110.79"/>
  </r>
  <r>
    <s v="a224fe43-b2c8-4fab-ae69-22a070ab0107"/>
    <s v="Marie Castro"/>
    <d v="2024-08-10T00:00:00"/>
    <x v="2"/>
    <x v="1"/>
    <n v="7"/>
    <n v="170.26"/>
    <n v="1191.82"/>
    <s v="in progress"/>
    <s v="Aug"/>
    <n v="170.26"/>
  </r>
  <r>
    <s v="231a51cc-9f7f-4204-9bbd-d8be172d920d"/>
    <s v="Linda Dickerson"/>
    <d v="2024-03-31T00:00:00"/>
    <x v="0"/>
    <x v="0"/>
    <n v="6"/>
    <n v="133.30000000000001"/>
    <n v="799.8"/>
    <s v="completed "/>
    <s v="Mar"/>
    <n v="133.29999999999998"/>
  </r>
  <r>
    <s v="20b19e75-8ed3-434a-a096-65d75b559de4"/>
    <s v="Dale Adkins"/>
    <d v="2023-09-18T00:00:00"/>
    <x v="4"/>
    <x v="0"/>
    <m/>
    <n v="104.54"/>
    <m/>
    <s v="Completed"/>
    <s v="Sep"/>
    <s v=""/>
  </r>
  <r>
    <s v="f996f182-fc32-46cb-9176-8bff491753ea"/>
    <s v="Jesus Dawson"/>
    <d v="2024-09-14T00:00:00"/>
    <x v="0"/>
    <x v="0"/>
    <n v="6"/>
    <n v="199.31"/>
    <n v="1195.8599999999999"/>
    <s v="completed "/>
    <s v="Sep"/>
    <n v="199.30999999999997"/>
  </r>
  <r>
    <s v="a1c94635-0f6b-4929-a77b-0f408312ae3b"/>
    <s v="Tiffany Collier"/>
    <d v="2024-06-17T00:00:00"/>
    <x v="4"/>
    <x v="2"/>
    <n v="2"/>
    <n v="109.92"/>
    <n v="219.84"/>
    <s v="Completed"/>
    <s v="Jun"/>
    <n v="109.92"/>
  </r>
  <r>
    <s v="b3f1bf36-aeda-4ac5-ab13-3f1b28b19712"/>
    <s v="Adam Collins"/>
    <d v="2023-08-16T00:00:00"/>
    <x v="2"/>
    <x v="2"/>
    <n v="2"/>
    <n v="182.4"/>
    <n v="364.8"/>
    <s v="Completed"/>
    <s v="Aug"/>
    <n v="182.4"/>
  </r>
  <r>
    <s v="3310066e-61a0-4dd1-8fed-2993f19e76a6"/>
    <s v="James Smith"/>
    <d v="2024-05-09T00:00:00"/>
    <x v="2"/>
    <x v="1"/>
    <m/>
    <n v="51.62"/>
    <m/>
    <s v="CANCELLED"/>
    <s v="May"/>
    <s v=""/>
  </r>
  <r>
    <s v="affdcaac-d224-403b-bfdc-712fb379dbcf"/>
    <s v="Jennifer Howard"/>
    <d v="2023-07-23T00:00:00"/>
    <x v="0"/>
    <x v="2"/>
    <n v="3"/>
    <n v="113.32"/>
    <n v="339.96"/>
    <s v="in progress"/>
    <s v="Jul"/>
    <n v="113.32"/>
  </r>
  <r>
    <s v="f4a092f4-5e22-416a-8ea7-76fa120e2818"/>
    <s v="Jessica Whitaker"/>
    <d v="2024-02-10T00:00:00"/>
    <x v="0"/>
    <x v="4"/>
    <n v="2"/>
    <n v="148.27000000000001"/>
    <n v="296.54000000000002"/>
    <s v="completed "/>
    <s v="Feb"/>
    <n v="148.27000000000001"/>
  </r>
  <r>
    <s v="bd2f8aed-392b-4264-966d-7f4adef22fd7"/>
    <s v="Sarah Nash"/>
    <d v="2023-07-08T00:00:00"/>
    <x v="2"/>
    <x v="1"/>
    <m/>
    <n v="40.090000000000003"/>
    <m/>
    <s v="in progress"/>
    <s v="Jul"/>
    <s v=""/>
  </r>
  <r>
    <s v="dc058306-6e14-497a-92be-6ac8f7633472"/>
    <s v="Maria Torres"/>
    <d v="2023-12-31T00:00:00"/>
    <x v="0"/>
    <x v="3"/>
    <m/>
    <n v="167.05"/>
    <m/>
    <s v="CANCELLED"/>
    <s v="Dec"/>
    <s v=""/>
  </r>
  <r>
    <s v="005ce951-ba5f-4d30-ba06-c5675f1126c3"/>
    <s v="Jeremiah Baker"/>
    <d v="2024-10-13T00:00:00"/>
    <x v="0"/>
    <x v="1"/>
    <m/>
    <n v="124.89"/>
    <m/>
    <s v="In-Progress"/>
    <s v="Oct"/>
    <s v=""/>
  </r>
  <r>
    <s v="16fa4f12-f7bc-4ad0-82dc-2dfdb87baaec"/>
    <s v="Julie Bernard"/>
    <d v="2024-01-07T00:00:00"/>
    <x v="1"/>
    <x v="3"/>
    <m/>
    <n v="102.13"/>
    <m/>
    <s v="completed "/>
    <s v="Jan"/>
    <s v=""/>
  </r>
  <r>
    <s v="e962ccae-35ff-4417-a6d1-24eb6b6a410c"/>
    <s v="Thomas Daniels"/>
    <d v="2023-09-28T00:00:00"/>
    <x v="1"/>
    <x v="3"/>
    <m/>
    <n v="42.93"/>
    <m/>
    <s v="in progress"/>
    <s v="Sep"/>
    <s v=""/>
  </r>
  <r>
    <s v="9ec5cc77-c46d-4517-a721-87f478ffeb58"/>
    <s v="Jeffrey Byrd"/>
    <d v="2023-08-18T00:00:00"/>
    <x v="0"/>
    <x v="1"/>
    <n v="7"/>
    <n v="33.33"/>
    <n v="233.31"/>
    <s v="completed "/>
    <s v="Aug"/>
    <n v="33.33"/>
  </r>
  <r>
    <s v="b9de5582-8495-4bfc-8b2a-2c008edac912"/>
    <s v="Melissa Schaefer"/>
    <d v="2025-02-27T00:00:00"/>
    <x v="3"/>
    <x v="0"/>
    <n v="3"/>
    <n v="90.53"/>
    <n v="271.58999999999997"/>
    <s v="Cancelled "/>
    <s v="Feb"/>
    <n v="90.529999999999987"/>
  </r>
  <r>
    <s v="d25b6fcc-161f-44b9-aec8-1dde10212367"/>
    <s v="Brian Contreras"/>
    <d v="2025-01-13T00:00:00"/>
    <x v="4"/>
    <x v="0"/>
    <m/>
    <n v="195.73"/>
    <m/>
    <s v="Completed"/>
    <s v="Jan"/>
    <s v=""/>
  </r>
  <r>
    <s v="77e04473-1944-4913-adcc-a3dee80e550a"/>
    <s v="Michael Martin"/>
    <d v="2024-10-27T00:00:00"/>
    <x v="4"/>
    <x v="2"/>
    <m/>
    <n v="189.15"/>
    <m/>
    <s v="Completed"/>
    <s v="Oct"/>
    <s v=""/>
  </r>
  <r>
    <s v="e4378624-fe89-420a-bd2e-99868ff3b778"/>
    <s v="Debra Fuller"/>
    <d v="2024-06-14T00:00:00"/>
    <x v="0"/>
    <x v="1"/>
    <n v="4"/>
    <n v="131.54"/>
    <n v="526.16"/>
    <s v="CANCELLED"/>
    <s v="Jun"/>
    <n v="131.54"/>
  </r>
  <r>
    <s v="0d115c27-848b-44de-b90b-d6f3d29433f1"/>
    <s v="Daniel Arnold"/>
    <d v="2024-08-31T00:00:00"/>
    <x v="0"/>
    <x v="0"/>
    <n v="8"/>
    <n v="63.08"/>
    <n v="504.64"/>
    <s v="CANCELLED"/>
    <s v="Aug"/>
    <n v="63.08"/>
  </r>
  <r>
    <s v="bf6319c9-b574-4643-9ee9-439555dd4dc9"/>
    <s v="Samuel Rhodes"/>
    <d v="2023-09-29T00:00:00"/>
    <x v="3"/>
    <x v="2"/>
    <m/>
    <n v="194.36"/>
    <m/>
    <s v="CANCELLED"/>
    <s v="Sep"/>
    <s v=""/>
  </r>
  <r>
    <s v="3cc12ae0-e4a1-403d-b608-2115840b10f4"/>
    <s v="Sarah Johns"/>
    <d v="2025-01-27T00:00:00"/>
    <x v="2"/>
    <x v="3"/>
    <n v="1"/>
    <n v="154.37"/>
    <n v="154.37"/>
    <s v="CANCELLED"/>
    <s v="Jan"/>
    <n v="154.37"/>
  </r>
  <r>
    <s v="a37fd3e6-2569-43da-b660-c4b548ea0041"/>
    <s v="Christina Baldwin"/>
    <d v="2023-07-30T00:00:00"/>
    <x v="2"/>
    <x v="4"/>
    <m/>
    <n v="136.33000000000001"/>
    <m/>
    <s v="in progress"/>
    <s v="Jul"/>
    <s v=""/>
  </r>
  <r>
    <s v="d6c60859-d7f0-4fb8-8edd-e495c461d954"/>
    <s v="Mr. Alexander Brown"/>
    <d v="2023-11-12T00:00:00"/>
    <x v="2"/>
    <x v="0"/>
    <n v="8"/>
    <n v="165.15"/>
    <n v="1321.2"/>
    <s v="Cancelled "/>
    <s v="Nov"/>
    <n v="165.15"/>
  </r>
  <r>
    <s v="5ae8b977-3587-4917-b506-c45feac34acb"/>
    <s v="Kristin Mercado"/>
    <d v="2024-04-22T00:00:00"/>
    <x v="0"/>
    <x v="4"/>
    <m/>
    <n v="96.53"/>
    <m/>
    <s v="Completed"/>
    <s v="Apr"/>
    <s v=""/>
  </r>
  <r>
    <s v="4f67fc68-5b98-49cc-ba4d-1c080a234905"/>
    <s v="Kelly Martinez"/>
    <d v="2023-11-29T00:00:00"/>
    <x v="3"/>
    <x v="0"/>
    <n v="2"/>
    <n v="12.42"/>
    <n v="24.84"/>
    <s v="Completed"/>
    <s v="Nov"/>
    <n v="12.42"/>
  </r>
  <r>
    <s v="57a6c630-14e2-4234-8d99-d343ff52fd46"/>
    <s v="Whitney Nolan"/>
    <d v="2023-05-27T00:00:00"/>
    <x v="4"/>
    <x v="4"/>
    <n v="6"/>
    <n v="109.87"/>
    <n v="659.22"/>
    <s v="completed "/>
    <s v="May"/>
    <n v="109.87"/>
  </r>
  <r>
    <s v="6342513c-e30f-4802-b3a5-ec3896290e8e"/>
    <s v="Rachel Lucas"/>
    <d v="2024-12-22T00:00:00"/>
    <x v="1"/>
    <x v="1"/>
    <m/>
    <n v="188.45"/>
    <m/>
    <s v="in progress"/>
    <s v="Dec"/>
    <s v=""/>
  </r>
  <r>
    <s v="1441c0c5-305b-480d-9f40-a21222d8a933"/>
    <s v="Lisa Smith"/>
    <d v="2023-11-11T00:00:00"/>
    <x v="4"/>
    <x v="3"/>
    <n v="2"/>
    <n v="169.9"/>
    <n v="339.8"/>
    <s v="In-Progress"/>
    <s v="Nov"/>
    <n v="169.9"/>
  </r>
  <r>
    <s v="ab39ecae-f0de-459d-98ef-b4399729087d"/>
    <s v="Timothy Knight"/>
    <d v="2024-05-03T00:00:00"/>
    <x v="4"/>
    <x v="2"/>
    <m/>
    <n v="82.64"/>
    <m/>
    <s v="completed "/>
    <s v="May"/>
    <s v=""/>
  </r>
  <r>
    <s v="c350f59d-5e98-4554-a8a2-97b6ada8155e"/>
    <s v="Matthew Prince"/>
    <d v="2024-04-10T00:00:00"/>
    <x v="2"/>
    <x v="4"/>
    <n v="9"/>
    <n v="190.5"/>
    <n v="1714.5"/>
    <s v="Cancelled "/>
    <s v="Apr"/>
    <n v="190.5"/>
  </r>
  <r>
    <s v="4d851665-6e89-4ab9-a550-d18df92c7809"/>
    <s v="Damon Mayer"/>
    <d v="2024-08-04T00:00:00"/>
    <x v="1"/>
    <x v="2"/>
    <m/>
    <n v="84.84"/>
    <m/>
    <s v="Completed"/>
    <s v="Aug"/>
    <s v=""/>
  </r>
  <r>
    <s v="32f5c9f5-a8b8-4f82-a25c-47bbfdf2cb9b"/>
    <s v="Monica Johnson"/>
    <d v="2023-06-03T00:00:00"/>
    <x v="0"/>
    <x v="3"/>
    <m/>
    <n v="42.43"/>
    <m/>
    <s v="CANCELLED"/>
    <s v="Jun"/>
    <s v=""/>
  </r>
  <r>
    <s v="2510190b-a7f8-4044-84fd-d89337cc8f81"/>
    <s v="Heather Keller"/>
    <d v="2024-02-17T00:00:00"/>
    <x v="2"/>
    <x v="2"/>
    <n v="6"/>
    <n v="169.56"/>
    <n v="1017.36"/>
    <s v="completed "/>
    <s v="Feb"/>
    <n v="169.56"/>
  </r>
  <r>
    <s v="855e4001-7106-43d2-9096-13de13747653"/>
    <s v="Mark Gibson"/>
    <d v="2024-08-19T00:00:00"/>
    <x v="0"/>
    <x v="2"/>
    <m/>
    <n v="46.65"/>
    <m/>
    <s v="in progress"/>
    <s v="Aug"/>
    <s v=""/>
  </r>
  <r>
    <s v="a05239ab-137a-4658-80ce-471b7f152d67"/>
    <s v="Monica Christian"/>
    <d v="2024-05-08T00:00:00"/>
    <x v="2"/>
    <x v="3"/>
    <m/>
    <n v="115.72"/>
    <m/>
    <s v="in progress"/>
    <s v="May"/>
    <s v=""/>
  </r>
  <r>
    <s v="3a125530-c91d-4a46-92be-3bb62ee8fddd"/>
    <s v="Karen Lewis"/>
    <d v="2024-02-27T00:00:00"/>
    <x v="4"/>
    <x v="1"/>
    <n v="8"/>
    <n v="115.08"/>
    <n v="920.64"/>
    <s v="completed "/>
    <s v="Feb"/>
    <n v="115.08"/>
  </r>
  <r>
    <s v="dd973992-9d68-4ee4-a33d-77c329216830"/>
    <s v="John Martin"/>
    <d v="2024-11-18T00:00:00"/>
    <x v="0"/>
    <x v="4"/>
    <m/>
    <n v="99.78"/>
    <m/>
    <s v="completed "/>
    <s v="Nov"/>
    <s v=""/>
  </r>
  <r>
    <s v="fd78c7d5-9113-4278-925d-a58bc47490bf"/>
    <s v="Edward Howard"/>
    <d v="2024-07-31T00:00:00"/>
    <x v="0"/>
    <x v="0"/>
    <m/>
    <n v="184.17"/>
    <m/>
    <s v="CANCELLED"/>
    <s v="Jul"/>
    <s v=""/>
  </r>
  <r>
    <s v="3569e3c3-cf3e-4cc0-8b0d-544f6a6514dc"/>
    <s v="Christopher Wilkins"/>
    <d v="2025-01-16T00:00:00"/>
    <x v="4"/>
    <x v="3"/>
    <m/>
    <n v="107.92"/>
    <m/>
    <s v="completed "/>
    <s v="Jan"/>
    <s v=""/>
  </r>
  <r>
    <s v="a24439f4-773e-4e6e-af4b-f34e011a3f30"/>
    <s v="Robert Schroeder"/>
    <d v="2023-06-25T00:00:00"/>
    <x v="2"/>
    <x v="1"/>
    <m/>
    <n v="75.59"/>
    <m/>
    <s v="Cancelled "/>
    <s v="Jun"/>
    <s v=""/>
  </r>
  <r>
    <s v="fe9898e6-ffd2-4054-b720-bd2221432952"/>
    <s v="Michael Ellis"/>
    <d v="2025-04-25T00:00:00"/>
    <x v="0"/>
    <x v="1"/>
    <n v="3"/>
    <n v="187.26"/>
    <n v="561.78"/>
    <s v="in progress"/>
    <s v="Apr"/>
    <n v="187.26"/>
  </r>
  <r>
    <s v="44018bb4-98c0-4edf-911b-7198c483c83b"/>
    <s v="Glenn Brown"/>
    <d v="2025-02-20T00:00:00"/>
    <x v="2"/>
    <x v="3"/>
    <m/>
    <n v="48.57"/>
    <m/>
    <s v="in progress"/>
    <s v="Feb"/>
    <s v=""/>
  </r>
  <r>
    <s v="c4f08c37-da27-4f8a-abfa-317a64606811"/>
    <s v="Wanda Reynolds"/>
    <d v="2024-10-06T00:00:00"/>
    <x v="0"/>
    <x v="4"/>
    <m/>
    <n v="151.05000000000001"/>
    <m/>
    <s v="Completed"/>
    <s v="Oct"/>
    <s v=""/>
  </r>
  <r>
    <s v="bcf20636-06cc-43d8-91f4-04647e696588"/>
    <s v="Heather Mitchell"/>
    <d v="2024-12-06T00:00:00"/>
    <x v="3"/>
    <x v="2"/>
    <n v="3"/>
    <n v="118.81"/>
    <n v="356.43"/>
    <s v="Cancelled "/>
    <s v="Dec"/>
    <n v="118.81"/>
  </r>
  <r>
    <s v="88cbe308-9747-4990-b979-2454e7814442"/>
    <s v="Lauren Simpson"/>
    <d v="2024-10-03T00:00:00"/>
    <x v="0"/>
    <x v="0"/>
    <n v="5"/>
    <n v="35.340000000000003"/>
    <n v="176.7"/>
    <s v="In-Progress"/>
    <s v="Oct"/>
    <n v="35.339999999999996"/>
  </r>
  <r>
    <s v="89cc3055-da98-4fb6-9caa-58a7796d73c8"/>
    <s v="Jason Marshall"/>
    <d v="2023-12-26T00:00:00"/>
    <x v="2"/>
    <x v="2"/>
    <m/>
    <n v="62.06"/>
    <m/>
    <s v="In-Progress"/>
    <s v="Dec"/>
    <s v=""/>
  </r>
  <r>
    <s v="1adf0ff3-988a-471e-9476-b44809da221d"/>
    <s v="Laurie Barker"/>
    <d v="2024-08-20T00:00:00"/>
    <x v="2"/>
    <x v="4"/>
    <n v="2"/>
    <n v="77.17"/>
    <n v="154.34"/>
    <s v="In-Progress"/>
    <s v="Aug"/>
    <n v="77.17"/>
  </r>
  <r>
    <s v="655a9cb7-5743-4200-b9d8-2abd2568f353"/>
    <s v="Susan Ho"/>
    <d v="2024-03-31T00:00:00"/>
    <x v="0"/>
    <x v="3"/>
    <m/>
    <n v="170.17"/>
    <m/>
    <s v="Completed"/>
    <s v="Mar"/>
    <s v=""/>
  </r>
  <r>
    <s v="8ba9c152-bd8b-4429-9f37-418caf59028a"/>
    <s v="Brandon Aguirre"/>
    <d v="2023-08-20T00:00:00"/>
    <x v="2"/>
    <x v="0"/>
    <m/>
    <n v="68.709999999999994"/>
    <m/>
    <s v="In-Progress"/>
    <s v="Aug"/>
    <s v=""/>
  </r>
  <r>
    <s v="31f9d740-b5b0-43b0-bc46-5d3be5289d27"/>
    <s v="Elizabeth Williams"/>
    <d v="2024-08-30T00:00:00"/>
    <x v="0"/>
    <x v="3"/>
    <m/>
    <n v="167.9"/>
    <m/>
    <s v="In-Progress"/>
    <s v="Aug"/>
    <s v=""/>
  </r>
  <r>
    <s v="672b723b-4597-4897-af1e-fcbc6d28c51e"/>
    <s v="Charles Decker"/>
    <d v="2023-12-16T00:00:00"/>
    <x v="0"/>
    <x v="1"/>
    <n v="1"/>
    <n v="177.85"/>
    <n v="177.85"/>
    <s v="CANCELLED"/>
    <s v="Dec"/>
    <n v="177.85"/>
  </r>
  <r>
    <s v="84190af1-3cad-411f-adbd-f299df73fd63"/>
    <s v="Anthony Harding"/>
    <d v="2024-01-04T00:00:00"/>
    <x v="4"/>
    <x v="3"/>
    <m/>
    <n v="81.900000000000006"/>
    <m/>
    <s v="CANCELLED"/>
    <s v="Jan"/>
    <s v=""/>
  </r>
  <r>
    <s v="b33ab568-e688-46d3-9665-64592ce421ac"/>
    <s v="Brian Johnson"/>
    <d v="2024-12-23T00:00:00"/>
    <x v="4"/>
    <x v="0"/>
    <n v="9"/>
    <n v="171.1"/>
    <n v="1539.9"/>
    <s v="Cancelled "/>
    <s v="Dec"/>
    <n v="171.10000000000002"/>
  </r>
  <r>
    <s v="8736e2e4-11a5-4e99-a11d-10cecafc574b"/>
    <s v="Dana Richardson"/>
    <d v="2024-04-16T00:00:00"/>
    <x v="0"/>
    <x v="2"/>
    <m/>
    <n v="62.35"/>
    <m/>
    <s v="in progress"/>
    <s v="Apr"/>
    <s v=""/>
  </r>
  <r>
    <s v="9e8600e4-c41e-4351-834a-6ac95421955d"/>
    <s v="Rebecca Perry"/>
    <d v="2024-04-16T00:00:00"/>
    <x v="4"/>
    <x v="1"/>
    <n v="1"/>
    <n v="47.19"/>
    <n v="47.19"/>
    <s v="Completed"/>
    <s v="Apr"/>
    <n v="47.19"/>
  </r>
  <r>
    <s v="7f5e5cb6-c330-428d-af57-d9e3212ad342"/>
    <s v="Michael Cook"/>
    <d v="2023-12-17T00:00:00"/>
    <x v="0"/>
    <x v="4"/>
    <n v="9"/>
    <n v="79.599999999999994"/>
    <n v="716.4"/>
    <s v="Completed"/>
    <s v="Dec"/>
    <n v="79.599999999999994"/>
  </r>
  <r>
    <s v="651a3622-6f75-4c45-afb6-022ad11a1cd3"/>
    <s v="David Rogers"/>
    <d v="2024-05-25T00:00:00"/>
    <x v="0"/>
    <x v="3"/>
    <n v="9"/>
    <n v="80.69"/>
    <n v="726.21"/>
    <s v="Completed"/>
    <s v="May"/>
    <n v="80.69"/>
  </r>
  <r>
    <s v="73bfab2c-b6d2-40aa-b04f-052e5f376622"/>
    <s v="Larry Hartman"/>
    <d v="2024-09-09T00:00:00"/>
    <x v="4"/>
    <x v="2"/>
    <n v="9"/>
    <n v="116.28"/>
    <n v="1046.52"/>
    <s v="In-Progress"/>
    <s v="Sep"/>
    <n v="116.28"/>
  </r>
  <r>
    <s v="a12b4093-9fa7-4ee2-9893-1af55a488175"/>
    <s v="Crystal Duke"/>
    <d v="2023-09-22T00:00:00"/>
    <x v="2"/>
    <x v="4"/>
    <n v="6"/>
    <n v="100.63"/>
    <n v="603.78"/>
    <s v="In-Progress"/>
    <s v="Sep"/>
    <n v="100.63"/>
  </r>
  <r>
    <s v="edad727b-777b-4ed0-a735-84012f0c21ca"/>
    <s v="Cole Rivera"/>
    <d v="2024-08-19T00:00:00"/>
    <x v="1"/>
    <x v="1"/>
    <m/>
    <n v="65.989999999999995"/>
    <m/>
    <s v="CANCELLED"/>
    <s v="Aug"/>
    <s v=""/>
  </r>
  <r>
    <s v="ae47ba05-ec34-4fd3-a001-882503fd71a0"/>
    <s v="Michael Williams"/>
    <d v="2023-08-22T00:00:00"/>
    <x v="1"/>
    <x v="1"/>
    <n v="1"/>
    <n v="187.52"/>
    <n v="187.52"/>
    <s v="In-Progress"/>
    <s v="Aug"/>
    <n v="187.52"/>
  </r>
  <r>
    <s v="67208666-a3d1-4fbb-831e-056064159e00"/>
    <s v="Ronald Brown"/>
    <d v="2023-12-07T00:00:00"/>
    <x v="0"/>
    <x v="2"/>
    <m/>
    <n v="40.700000000000003"/>
    <m/>
    <s v="in progress"/>
    <s v="Dec"/>
    <s v=""/>
  </r>
  <r>
    <s v="cf265e29-fc7a-4ee9-9183-9cd7571331ca"/>
    <s v="Austin Smith"/>
    <d v="2023-10-13T00:00:00"/>
    <x v="4"/>
    <x v="0"/>
    <m/>
    <n v="85.84"/>
    <m/>
    <s v="in progress"/>
    <s v="Oct"/>
    <s v=""/>
  </r>
  <r>
    <s v="88c08b6d-2e81-4a73-a2b6-4882ef921d1b"/>
    <s v="Kristen Bryant"/>
    <d v="2025-01-29T00:00:00"/>
    <x v="3"/>
    <x v="1"/>
    <n v="8"/>
    <n v="41.69"/>
    <m/>
    <s v="Cancelled "/>
    <s v="Jan"/>
    <s v=""/>
  </r>
  <r>
    <s v="73553bce-9c35-427c-9de4-64209e804be3"/>
    <s v="Susan Smith"/>
    <d v="2024-08-13T00:00:00"/>
    <x v="0"/>
    <x v="3"/>
    <m/>
    <n v="143.57"/>
    <m/>
    <s v="completed "/>
    <s v="Aug"/>
    <s v=""/>
  </r>
  <r>
    <s v="98610434-673d-4d5c-8420-9d27aef98e96"/>
    <s v="Michael Smith"/>
    <d v="2024-06-23T00:00:00"/>
    <x v="0"/>
    <x v="3"/>
    <m/>
    <n v="179.83"/>
    <m/>
    <s v="Cancelled "/>
    <s v="Jun"/>
    <s v=""/>
  </r>
  <r>
    <s v="b9ab20a9-2071-4fe8-afa1-f4cf2a975019"/>
    <s v="Douglas Wolfe"/>
    <d v="2024-12-25T00:00:00"/>
    <x v="1"/>
    <x v="3"/>
    <m/>
    <n v="198.43"/>
    <m/>
    <s v="Cancelled "/>
    <s v="Dec"/>
    <s v=""/>
  </r>
  <r>
    <s v="547be384-9f46-4e1c-b97a-9349c34d5a2c"/>
    <s v="Brittany Pennington"/>
    <d v="2025-02-22T00:00:00"/>
    <x v="4"/>
    <x v="3"/>
    <m/>
    <n v="128.13"/>
    <m/>
    <s v="CANCELLED"/>
    <s v="Feb"/>
    <s v=""/>
  </r>
  <r>
    <s v="61ea0f61-4d25-4cee-98cc-e3bca98e2b0f"/>
    <s v="Taylor Jenkins"/>
    <d v="2023-06-25T00:00:00"/>
    <x v="1"/>
    <x v="4"/>
    <n v="6"/>
    <n v="67.709999999999994"/>
    <n v="406.26"/>
    <s v="In-Progress"/>
    <s v="Jun"/>
    <n v="67.709999999999994"/>
  </r>
  <r>
    <s v="8649f505-209e-4d60-b140-81ba27816b1b"/>
    <s v="Nicole Wagner"/>
    <d v="2024-04-03T00:00:00"/>
    <x v="4"/>
    <x v="4"/>
    <m/>
    <n v="127.34"/>
    <m/>
    <s v="Cancelled "/>
    <s v="Apr"/>
    <s v=""/>
  </r>
  <r>
    <s v="458fa8a5-0578-4fb0-b651-bb2b578ba6b3"/>
    <s v="Timothy Brooks"/>
    <d v="2023-05-19T00:00:00"/>
    <x v="4"/>
    <x v="4"/>
    <m/>
    <n v="171"/>
    <m/>
    <s v="CANCELLED"/>
    <s v="May"/>
    <s v=""/>
  </r>
  <r>
    <s v="dec6289e-d880-45b2-bb6a-c0e4e0682411"/>
    <s v="Laurie Payne"/>
    <d v="2024-11-30T00:00:00"/>
    <x v="2"/>
    <x v="2"/>
    <n v="2"/>
    <n v="17.37"/>
    <n v="34.74"/>
    <s v="completed "/>
    <s v="Nov"/>
    <n v="17.37"/>
  </r>
  <r>
    <s v="2a6ee8f2-dd7d-497a-97f2-4b25dbe5eb9e"/>
    <s v="Mark Dillon"/>
    <d v="2023-11-20T00:00:00"/>
    <x v="0"/>
    <x v="0"/>
    <n v="8"/>
    <n v="41.61"/>
    <n v="332.88"/>
    <s v="In-Progress"/>
    <s v="Nov"/>
    <n v="41.61"/>
  </r>
  <r>
    <s v="483929f3-9ad7-4cf8-9175-efcccbcdb0d6"/>
    <s v="Anita Wiley"/>
    <d v="2024-03-27T00:00:00"/>
    <x v="0"/>
    <x v="2"/>
    <n v="3"/>
    <n v="97.6"/>
    <n v="292.8"/>
    <s v="CANCELLED"/>
    <s v="Mar"/>
    <n v="97.600000000000009"/>
  </r>
  <r>
    <s v="a9a6901e-8d0c-400a-8a7a-4d7d17c5498f"/>
    <s v="Stephanie Sharp"/>
    <d v="2023-12-06T00:00:00"/>
    <x v="1"/>
    <x v="4"/>
    <n v="7"/>
    <n v="49.62"/>
    <n v="347.34"/>
    <s v="completed "/>
    <s v="Dec"/>
    <n v="49.62"/>
  </r>
  <r>
    <s v="795b8898-b1eb-4212-a49d-62acc667d864"/>
    <s v="Douglas Price"/>
    <d v="2024-12-26T00:00:00"/>
    <x v="2"/>
    <x v="4"/>
    <m/>
    <n v="141.37"/>
    <m/>
    <s v="In-Progress"/>
    <s v="Dec"/>
    <s v=""/>
  </r>
  <r>
    <s v="c2f8af13-f74d-478f-9851-3e312d404ad3"/>
    <s v="Jennifer Larson"/>
    <d v="2024-09-06T00:00:00"/>
    <x v="3"/>
    <x v="4"/>
    <n v="7"/>
    <n v="36.049999999999997"/>
    <n v="252.35"/>
    <s v="Completed"/>
    <s v="Sep"/>
    <n v="36.049999999999997"/>
  </r>
  <r>
    <s v="95293140-bd51-4983-8cc2-bec0925f15be"/>
    <s v="Anna Abbott"/>
    <d v="2023-12-22T00:00:00"/>
    <x v="1"/>
    <x v="2"/>
    <n v="2"/>
    <n v="197.04"/>
    <n v="394.08"/>
    <s v="Completed"/>
    <s v="Dec"/>
    <n v="197.04"/>
  </r>
  <r>
    <s v="6f21bc05-d34c-44e5-87b4-96313bcf5226"/>
    <s v="Michele Wiggins"/>
    <d v="2025-03-04T00:00:00"/>
    <x v="0"/>
    <x v="0"/>
    <m/>
    <n v="119.42"/>
    <m/>
    <s v="Completed"/>
    <s v="Mar"/>
    <s v=""/>
  </r>
  <r>
    <s v="b62ac038-b923-4dc0-bd19-01a21980dd06"/>
    <s v="Arthur Williams"/>
    <d v="2024-09-24T00:00:00"/>
    <x v="0"/>
    <x v="3"/>
    <n v="3"/>
    <n v="12.38"/>
    <n v="37.14"/>
    <s v="completed "/>
    <s v="Sep"/>
    <n v="12.38"/>
  </r>
  <r>
    <s v="f4e4d63a-9fe1-4cfd-b0ad-9fd466cc41eb"/>
    <s v="Mr. Carl Carroll"/>
    <d v="2023-12-22T00:00:00"/>
    <x v="0"/>
    <x v="3"/>
    <m/>
    <n v="23.09"/>
    <m/>
    <s v="in progress"/>
    <s v="Dec"/>
    <s v=""/>
  </r>
  <r>
    <s v="d6261ffb-2752-437d-b13e-259cfa400567"/>
    <s v="Kimberly Walker"/>
    <d v="2025-02-09T00:00:00"/>
    <x v="0"/>
    <x v="0"/>
    <m/>
    <n v="42.18"/>
    <m/>
    <s v="Completed"/>
    <s v="Feb"/>
    <s v=""/>
  </r>
  <r>
    <s v="17b9a865-228e-4412-b1bd-acf8e3db70cd"/>
    <s v="Jenna Hernandez"/>
    <d v="2024-12-23T00:00:00"/>
    <x v="0"/>
    <x v="2"/>
    <n v="7"/>
    <n v="165.15"/>
    <n v="1156.05"/>
    <s v="in progress"/>
    <s v="Dec"/>
    <n v="165.15"/>
  </r>
  <r>
    <s v="f0ca6892-6130-4c50-ba65-9e0f7a52ea27"/>
    <s v="Shawn Schultz"/>
    <d v="2023-10-31T00:00:00"/>
    <x v="3"/>
    <x v="2"/>
    <n v="5"/>
    <n v="51.66"/>
    <m/>
    <s v="Cancelled "/>
    <s v="Oct"/>
    <s v=""/>
  </r>
  <r>
    <s v="7640f397-d72c-42b8-bab7-783946d4590c"/>
    <s v="Denise Lee"/>
    <d v="2025-04-18T00:00:00"/>
    <x v="2"/>
    <x v="2"/>
    <n v="7"/>
    <n v="164.95"/>
    <n v="1154.6500000000001"/>
    <s v="Completed"/>
    <s v="Apr"/>
    <n v="164.95000000000002"/>
  </r>
  <r>
    <s v="48a09ce3-ef76-4e45-bd78-182db9a762c9"/>
    <s v="Ann Stafford"/>
    <d v="2025-02-15T00:00:00"/>
    <x v="0"/>
    <x v="4"/>
    <n v="9"/>
    <n v="67.83"/>
    <n v="610.47"/>
    <s v="In-Progress"/>
    <s v="Feb"/>
    <n v="67.83"/>
  </r>
  <r>
    <s v="f8ad7681-db03-44a7-bd45-184612c2978b"/>
    <s v="Kelsey Smith"/>
    <d v="2024-08-29T00:00:00"/>
    <x v="2"/>
    <x v="0"/>
    <m/>
    <n v="68.239999999999995"/>
    <m/>
    <s v="In-Progress"/>
    <s v="Aug"/>
    <s v=""/>
  </r>
  <r>
    <s v="ab3c91ee-657c-4c0d-8c59-cab057c5f9dd"/>
    <s v="Kenneth Buck"/>
    <d v="2023-11-28T00:00:00"/>
    <x v="0"/>
    <x v="1"/>
    <m/>
    <n v="33.549999999999997"/>
    <m/>
    <s v="In-Progress"/>
    <s v="Nov"/>
    <s v=""/>
  </r>
  <r>
    <s v="33bc9e9a-fa72-4f27-a214-32025d49668a"/>
    <s v="Nicole Garcia"/>
    <d v="2024-07-05T00:00:00"/>
    <x v="0"/>
    <x v="4"/>
    <n v="6"/>
    <n v="20.36"/>
    <n v="122.16"/>
    <s v="Completed"/>
    <s v="Jul"/>
    <n v="20.36"/>
  </r>
  <r>
    <s v="2d8978ae-dfcd-40d8-8b0f-fbd2b416c30f"/>
    <s v="Amy Orr"/>
    <d v="2024-01-05T00:00:00"/>
    <x v="2"/>
    <x v="3"/>
    <n v="9"/>
    <n v="121.15"/>
    <n v="1090.3499999999999"/>
    <s v="in progress"/>
    <s v="Jan"/>
    <n v="121.14999999999999"/>
  </r>
  <r>
    <s v="76142c39-0a2b-44df-92f1-6a329de0ab8a"/>
    <s v="Julie Zavala"/>
    <d v="2023-07-21T00:00:00"/>
    <x v="0"/>
    <x v="4"/>
    <m/>
    <n v="55"/>
    <m/>
    <s v="CANCELLED"/>
    <s v="Jul"/>
    <s v=""/>
  </r>
  <r>
    <s v="509e1d08-2771-49d6-90b6-bd3d3a3e54a3"/>
    <s v="Kathryn Gonzalez"/>
    <d v="2023-12-25T00:00:00"/>
    <x v="0"/>
    <x v="4"/>
    <n v="4"/>
    <n v="166.8"/>
    <n v="667.2"/>
    <s v="CANCELLED"/>
    <s v="Dec"/>
    <n v="166.8"/>
  </r>
  <r>
    <s v="f31ac7e1-c9b7-4429-bced-5e3597d8ed50"/>
    <s v="George Mayer"/>
    <d v="2023-07-18T00:00:00"/>
    <x v="0"/>
    <x v="0"/>
    <n v="9"/>
    <n v="29.39"/>
    <n v="264.51"/>
    <s v="Cancelled "/>
    <s v="Jul"/>
    <n v="29.39"/>
  </r>
  <r>
    <s v="713d65e3-1936-4b1f-a1f1-8d33a8c12f20"/>
    <s v="Gary Powers"/>
    <d v="2025-04-15T00:00:00"/>
    <x v="0"/>
    <x v="2"/>
    <m/>
    <n v="147.96"/>
    <m/>
    <s v="completed "/>
    <s v="Apr"/>
    <s v=""/>
  </r>
  <r>
    <s v="9df226cc-aecb-4e30-96ed-dfc6013ac5b7"/>
    <s v="Teresa Williams"/>
    <d v="2025-03-31T00:00:00"/>
    <x v="2"/>
    <x v="0"/>
    <n v="3"/>
    <n v="26.93"/>
    <n v="80.790000000000006"/>
    <s v="completed "/>
    <s v="Mar"/>
    <n v="26.930000000000003"/>
  </r>
  <r>
    <s v="cc5cd278-f538-45a7-af5c-00cffb75716d"/>
    <s v="Julia Thomas"/>
    <d v="2024-10-30T00:00:00"/>
    <x v="2"/>
    <x v="4"/>
    <n v="9"/>
    <n v="164.88"/>
    <n v="1483.92"/>
    <s v="completed "/>
    <s v="Oct"/>
    <n v="164.88"/>
  </r>
  <r>
    <s v="fb769f67-5b89-4fff-ae76-984e5ae7154f"/>
    <s v="Felicia Walsh"/>
    <d v="2024-08-22T00:00:00"/>
    <x v="3"/>
    <x v="3"/>
    <m/>
    <n v="82.97"/>
    <m/>
    <s v="Cancelled "/>
    <s v="Aug"/>
    <s v=""/>
  </r>
  <r>
    <s v="616b12b9-5c59-4dd6-903a-7a68b7ed81d4"/>
    <s v="Karen Herman"/>
    <d v="2024-07-05T00:00:00"/>
    <x v="1"/>
    <x v="4"/>
    <m/>
    <n v="140.63999999999999"/>
    <m/>
    <s v="in progress"/>
    <s v="Jul"/>
    <s v=""/>
  </r>
  <r>
    <s v="1200747c-c6dd-4c7b-9a4e-d21d4ad7c513"/>
    <s v="Matthew James"/>
    <d v="2024-06-13T00:00:00"/>
    <x v="3"/>
    <x v="1"/>
    <m/>
    <n v="87.24"/>
    <m/>
    <s v="in progress"/>
    <s v="Jun"/>
    <s v=""/>
  </r>
  <r>
    <s v="db452cab-5e09-438d-bf9f-e7190443cdca"/>
    <s v="Michele Baker"/>
    <d v="2023-09-15T00:00:00"/>
    <x v="0"/>
    <x v="3"/>
    <n v="2"/>
    <n v="101.32"/>
    <n v="202.64"/>
    <s v="completed "/>
    <s v="Sep"/>
    <n v="101.32"/>
  </r>
  <r>
    <s v="45f1ce62-7711-4fbc-b41d-159f4aee9642"/>
    <s v="Mario Dougherty"/>
    <d v="2025-04-15T00:00:00"/>
    <x v="1"/>
    <x v="3"/>
    <m/>
    <n v="62.67"/>
    <m/>
    <s v="Completed"/>
    <s v="Apr"/>
    <s v=""/>
  </r>
  <r>
    <s v="f5608c0d-09d0-4c6c-90ad-740fc0328621"/>
    <s v="Neil Branch"/>
    <d v="2023-10-29T00:00:00"/>
    <x v="1"/>
    <x v="3"/>
    <n v="8"/>
    <n v="53.3"/>
    <n v="426.4"/>
    <s v="in progress"/>
    <s v="Oct"/>
    <n v="53.3"/>
  </r>
  <r>
    <s v="e005eb67-ad78-4a1d-8b78-4a2f2df86fd6"/>
    <s v="Christopher Miller"/>
    <d v="2023-11-26T00:00:00"/>
    <x v="3"/>
    <x v="0"/>
    <n v="1"/>
    <n v="68.08"/>
    <n v="68.08"/>
    <s v="Cancelled "/>
    <s v="Nov"/>
    <n v="68.08"/>
  </r>
  <r>
    <s v="78f2d8b9-e34f-45c5-8bfb-43ad75765b55"/>
    <s v="Christine Liu"/>
    <d v="2023-06-27T00:00:00"/>
    <x v="0"/>
    <x v="1"/>
    <n v="3"/>
    <n v="62.6"/>
    <n v="187.8"/>
    <s v="In-Progress"/>
    <s v="Jun"/>
    <n v="62.6"/>
  </r>
  <r>
    <s v="c671527d-10a0-400a-a6e5-119f096a1a41"/>
    <s v="William Walls III"/>
    <d v="2023-12-07T00:00:00"/>
    <x v="1"/>
    <x v="4"/>
    <m/>
    <n v="65.239999999999995"/>
    <m/>
    <s v="Cancelled "/>
    <s v="Dec"/>
    <s v=""/>
  </r>
  <r>
    <s v="e8afe976-8dd2-4c45-812f-d0ef5767b2b0"/>
    <s v="Brenda Ramirez DDS"/>
    <d v="2023-11-26T00:00:00"/>
    <x v="2"/>
    <x v="3"/>
    <m/>
    <n v="172.5"/>
    <m/>
    <s v="Completed"/>
    <s v="Nov"/>
    <s v=""/>
  </r>
  <r>
    <s v="20db283f-edcc-433f-9215-c4fd8a29af12"/>
    <s v="Kayla Hess"/>
    <d v="2023-10-18T00:00:00"/>
    <x v="4"/>
    <x v="0"/>
    <m/>
    <n v="80.17"/>
    <m/>
    <s v="completed "/>
    <s v="Oct"/>
    <s v=""/>
  </r>
  <r>
    <s v="662cdc0a-be54-4b35-9e0a-949fba55a834"/>
    <s v="Scott Taylor"/>
    <d v="2025-02-04T00:00:00"/>
    <x v="0"/>
    <x v="3"/>
    <m/>
    <n v="23.31"/>
    <m/>
    <s v="CANCELLED"/>
    <s v="Feb"/>
    <s v=""/>
  </r>
  <r>
    <s v="58787327-7eee-4bf3-af41-3fff472271e1"/>
    <s v="Joshua Williams"/>
    <d v="2024-01-28T00:00:00"/>
    <x v="2"/>
    <x v="0"/>
    <m/>
    <n v="65.44"/>
    <m/>
    <s v="completed "/>
    <s v="Jan"/>
    <s v=""/>
  </r>
  <r>
    <s v="d9efd49d-accc-4745-8802-67ca95eb3c3c"/>
    <s v="Jeremy Hughes"/>
    <d v="2024-03-26T00:00:00"/>
    <x v="2"/>
    <x v="3"/>
    <m/>
    <n v="60.4"/>
    <m/>
    <s v="In-Progress"/>
    <s v="Mar"/>
    <s v=""/>
  </r>
  <r>
    <s v="75e7aa68-c321-450e-b6ac-aa28375591a3"/>
    <s v="Cindy Boyd"/>
    <d v="2024-05-19T00:00:00"/>
    <x v="0"/>
    <x v="1"/>
    <m/>
    <n v="162.91"/>
    <m/>
    <s v="completed "/>
    <s v="May"/>
    <s v=""/>
  </r>
  <r>
    <s v="ced1c7c5-b95a-4059-8441-1f96a9020781"/>
    <s v="Mark Murray"/>
    <d v="2024-04-22T00:00:00"/>
    <x v="4"/>
    <x v="2"/>
    <m/>
    <n v="37.090000000000003"/>
    <m/>
    <s v="CANCELLED"/>
    <s v="Apr"/>
    <s v=""/>
  </r>
  <r>
    <s v="d5fa6fd2-fa34-4e76-9224-7cdb1f042d5a"/>
    <s v="Ashley Burch"/>
    <d v="2025-03-13T00:00:00"/>
    <x v="4"/>
    <x v="4"/>
    <n v="9"/>
    <n v="83.46"/>
    <n v="751.14"/>
    <s v="CANCELLED"/>
    <s v="Mar"/>
    <n v="83.46"/>
  </r>
  <r>
    <s v="64693c14-68ae-411a-bd24-883b63a7bab5"/>
    <s v="Anthony Christian"/>
    <d v="2024-06-21T00:00:00"/>
    <x v="2"/>
    <x v="0"/>
    <m/>
    <n v="41.48"/>
    <m/>
    <s v="Completed"/>
    <s v="Jun"/>
    <s v=""/>
  </r>
  <r>
    <s v="5995da75-3885-41b9-abc4-7d028561bae0"/>
    <s v="Erika Mccullough"/>
    <d v="2024-06-23T00:00:00"/>
    <x v="3"/>
    <x v="3"/>
    <n v="5"/>
    <n v="157.43"/>
    <n v="787.15"/>
    <s v="CANCELLED"/>
    <s v="Jun"/>
    <n v="157.43"/>
  </r>
  <r>
    <s v="25faa6fa-bdf1-47d4-866a-f300f3c1c820"/>
    <s v="Brian Simon"/>
    <d v="2024-09-30T00:00:00"/>
    <x v="2"/>
    <x v="4"/>
    <n v="6"/>
    <n v="20.66"/>
    <n v="123.96"/>
    <s v="in progress"/>
    <s v="Sep"/>
    <n v="20.66"/>
  </r>
  <r>
    <s v="4b4d24b2-b2e2-4d98-b066-eed6d2957175"/>
    <s v="Patricia Rodriguez"/>
    <d v="2024-04-09T00:00:00"/>
    <x v="0"/>
    <x v="1"/>
    <n v="5"/>
    <n v="178.1"/>
    <n v="890.5"/>
    <s v="completed "/>
    <s v="Apr"/>
    <n v="178.1"/>
  </r>
  <r>
    <s v="6cc23abb-cf6a-40b0-a1d9-b91b19ad925c"/>
    <s v="Michael Chavez"/>
    <d v="2025-02-25T00:00:00"/>
    <x v="0"/>
    <x v="2"/>
    <n v="6"/>
    <n v="40.11"/>
    <n v="240.66"/>
    <s v="In-Progress"/>
    <s v="Feb"/>
    <n v="40.11"/>
  </r>
  <r>
    <s v="2dea98e9-9a5e-4e6b-aabc-ea98123e039e"/>
    <s v="Dave Walker"/>
    <d v="2025-02-13T00:00:00"/>
    <x v="0"/>
    <x v="4"/>
    <n v="6"/>
    <n v="154.22999999999999"/>
    <n v="925.38"/>
    <s v="in progress"/>
    <s v="Feb"/>
    <n v="154.22999999999999"/>
  </r>
  <r>
    <s v="9384344e-02a3-412b-ab6a-2ab8bec65bcb"/>
    <s v="Courtney Alvarado"/>
    <d v="2023-05-28T00:00:00"/>
    <x v="2"/>
    <x v="2"/>
    <n v="7"/>
    <n v="120.73"/>
    <n v="845.11"/>
    <s v="In-Progress"/>
    <s v="May"/>
    <n v="120.73"/>
  </r>
  <r>
    <s v="e9de0ab4-ced8-43a8-86b0-554c97432255"/>
    <s v="Tina Harris"/>
    <d v="2025-03-03T00:00:00"/>
    <x v="0"/>
    <x v="2"/>
    <n v="4"/>
    <n v="187.56"/>
    <n v="750.24"/>
    <s v="Cancelled "/>
    <s v="Mar"/>
    <n v="187.56"/>
  </r>
  <r>
    <s v="4e3abe27-780a-4448-a573-bd3a75ed4410"/>
    <s v="Kristy Palmer"/>
    <d v="2024-09-28T00:00:00"/>
    <x v="0"/>
    <x v="2"/>
    <m/>
    <n v="107.63"/>
    <m/>
    <s v="completed "/>
    <s v="Sep"/>
    <s v=""/>
  </r>
  <r>
    <s v="f2d836af-0bcd-40a1-9c5c-e7345a346609"/>
    <s v="Brandon Lopez"/>
    <d v="2023-08-12T00:00:00"/>
    <x v="0"/>
    <x v="2"/>
    <m/>
    <n v="33.78"/>
    <m/>
    <s v="in progress"/>
    <s v="Aug"/>
    <s v=""/>
  </r>
  <r>
    <s v="3e02811e-c96e-49f5-bbe9-ef77d7f47c0e"/>
    <s v="Geoffrey Carr"/>
    <d v="2024-07-27T00:00:00"/>
    <x v="4"/>
    <x v="3"/>
    <n v="9"/>
    <n v="199.86"/>
    <n v="1798.74"/>
    <s v="Completed"/>
    <s v="Jul"/>
    <n v="199.86"/>
  </r>
  <r>
    <s v="21cc7f18-bf14-4c84-b379-bf24a6a97725"/>
    <s v="Brandy Bryant"/>
    <d v="2023-05-04T00:00:00"/>
    <x v="0"/>
    <x v="2"/>
    <n v="7"/>
    <n v="77.489999999999995"/>
    <n v="542.42999999999995"/>
    <s v="CANCELLED"/>
    <s v="May"/>
    <n v="77.489999999999995"/>
  </r>
  <r>
    <s v="6c487786-6f6a-4d74-80c6-0998a072144d"/>
    <s v="Derrick Lewis"/>
    <d v="2024-06-18T00:00:00"/>
    <x v="4"/>
    <x v="0"/>
    <m/>
    <n v="61.38"/>
    <m/>
    <s v="in progress"/>
    <s v="Jun"/>
    <s v=""/>
  </r>
  <r>
    <s v="bc0abde7-832d-4488-a941-d6a03ff30d9f"/>
    <s v="Luis Johnston"/>
    <d v="2024-03-15T00:00:00"/>
    <x v="2"/>
    <x v="3"/>
    <m/>
    <n v="197.87"/>
    <m/>
    <s v="Completed"/>
    <s v="Mar"/>
    <s v=""/>
  </r>
  <r>
    <s v="3438b6cd-dc60-4594-9030-b2a0ad9bd77e"/>
    <s v="Rebecca Lam"/>
    <d v="2024-12-19T00:00:00"/>
    <x v="0"/>
    <x v="3"/>
    <n v="8"/>
    <n v="141.94999999999999"/>
    <n v="1135.5999999999999"/>
    <s v="CANCELLED"/>
    <s v="Dec"/>
    <n v="141.94999999999999"/>
  </r>
  <r>
    <s v="1ce69c7e-77e8-47a8-ae54-10216bd9234e"/>
    <s v="Amanda Romero"/>
    <d v="2024-11-09T00:00:00"/>
    <x v="3"/>
    <x v="2"/>
    <m/>
    <n v="71.78"/>
    <m/>
    <s v="In-Progress"/>
    <s v="Nov"/>
    <s v=""/>
  </r>
  <r>
    <s v="9f9957a1-65de-454f-8df7-f92ab48ec93c"/>
    <s v="Luis Stephens"/>
    <d v="2024-02-10T00:00:00"/>
    <x v="3"/>
    <x v="1"/>
    <m/>
    <n v="73.489999999999995"/>
    <m/>
    <s v="Cancelled "/>
    <s v="Feb"/>
    <s v=""/>
  </r>
  <r>
    <s v="8391687f-3118-4ad9-9802-5e26a0d5d362"/>
    <s v="Carlos Jefferson"/>
    <d v="2024-09-04T00:00:00"/>
    <x v="2"/>
    <x v="3"/>
    <n v="8"/>
    <n v="129.44"/>
    <n v="1035.52"/>
    <s v="Completed"/>
    <s v="Sep"/>
    <n v="129.44"/>
  </r>
  <r>
    <s v="63c9b9b7-30ea-4f73-9dc7-49deb0abbc51"/>
    <s v="John Shah"/>
    <d v="2024-12-13T00:00:00"/>
    <x v="2"/>
    <x v="4"/>
    <m/>
    <n v="175.55"/>
    <m/>
    <s v="Completed"/>
    <s v="Dec"/>
    <s v=""/>
  </r>
  <r>
    <s v="83ee89f0-b15f-4a14-be72-f132e8f9bb74"/>
    <s v="Megan Molina"/>
    <d v="2023-07-02T00:00:00"/>
    <x v="0"/>
    <x v="3"/>
    <m/>
    <n v="194.62"/>
    <m/>
    <s v="in progress"/>
    <s v="Jul"/>
    <s v=""/>
  </r>
  <r>
    <s v="0f0098ba-7c8d-41ba-b888-2f49a10d9e69"/>
    <s v="Matthew Adams"/>
    <d v="2024-04-24T00:00:00"/>
    <x v="0"/>
    <x v="3"/>
    <n v="4"/>
    <n v="44"/>
    <n v="176"/>
    <s v="Cancelled "/>
    <s v="Apr"/>
    <n v="44"/>
  </r>
  <r>
    <s v="ed346151-588f-454e-88ef-e3876e8edc9e"/>
    <s v="Mr. Damon Castro"/>
    <d v="2024-02-10T00:00:00"/>
    <x v="0"/>
    <x v="0"/>
    <n v="4"/>
    <n v="126.17"/>
    <n v="504.68"/>
    <s v="Cancelled "/>
    <s v="Feb"/>
    <n v="126.17"/>
  </r>
  <r>
    <s v="e9cfcff7-c115-4381-b352-65fb16a3bf56"/>
    <s v="Margaret Burgess"/>
    <d v="2024-07-06T00:00:00"/>
    <x v="1"/>
    <x v="1"/>
    <m/>
    <n v="99.74"/>
    <m/>
    <s v="In-Progress"/>
    <s v="Jul"/>
    <s v=""/>
  </r>
  <r>
    <s v="8aea9931-7730-46fa-a4de-714f13bc5d2c"/>
    <s v="Patricia Jones"/>
    <d v="2023-11-30T00:00:00"/>
    <x v="2"/>
    <x v="0"/>
    <n v="6"/>
    <n v="146.94999999999999"/>
    <n v="881.7"/>
    <s v="in progress"/>
    <s v="Nov"/>
    <n v="146.95000000000002"/>
  </r>
  <r>
    <s v="d05fe607-e1d6-46ad-a302-55a90e21073d"/>
    <s v="Mr. Eric Doyle MD"/>
    <d v="2023-05-24T00:00:00"/>
    <x v="3"/>
    <x v="0"/>
    <m/>
    <n v="16.170000000000002"/>
    <m/>
    <s v="Cancelled "/>
    <s v="May"/>
    <s v=""/>
  </r>
  <r>
    <s v="38d21210-dbc1-4cdd-a39a-44e5e88ba08a"/>
    <s v="William Rhodes"/>
    <d v="2024-07-28T00:00:00"/>
    <x v="3"/>
    <x v="2"/>
    <m/>
    <n v="121.66"/>
    <m/>
    <s v="In-Progress"/>
    <s v="Jul"/>
    <s v=""/>
  </r>
  <r>
    <s v="4cb2b287-53a0-4898-9253-40dc832e0f3f"/>
    <s v="Rebecca Jones"/>
    <d v="2023-11-05T00:00:00"/>
    <x v="0"/>
    <x v="3"/>
    <m/>
    <n v="41.4"/>
    <m/>
    <s v="Cancelled "/>
    <s v="Nov"/>
    <s v=""/>
  </r>
  <r>
    <s v="706eafba-f276-481e-890f-79e0c5e39671"/>
    <s v="Tammy Rios"/>
    <d v="2023-08-06T00:00:00"/>
    <x v="0"/>
    <x v="4"/>
    <m/>
    <n v="69.319999999999993"/>
    <m/>
    <s v="In-Progress"/>
    <s v="Aug"/>
    <s v=""/>
  </r>
  <r>
    <s v="8a8be36a-405e-4564-9130-09e86b4184ab"/>
    <s v="Tabitha Malone"/>
    <d v="2023-10-21T00:00:00"/>
    <x v="0"/>
    <x v="3"/>
    <n v="9"/>
    <n v="61.72"/>
    <n v="555.48"/>
    <s v="In-Progress"/>
    <s v="Oct"/>
    <n v="61.72"/>
  </r>
  <r>
    <s v="56319a84-879d-400d-b9b9-c8ddfba46b3e"/>
    <s v="Warren Wilson"/>
    <d v="2024-04-05T00:00:00"/>
    <x v="3"/>
    <x v="4"/>
    <m/>
    <n v="16.670000000000002"/>
    <m/>
    <s v="completed "/>
    <s v="Apr"/>
    <s v=""/>
  </r>
  <r>
    <s v="5a773377-02e7-492c-b404-8bac19586f33"/>
    <s v="Elizabeth Bennett"/>
    <d v="2025-01-11T00:00:00"/>
    <x v="4"/>
    <x v="3"/>
    <n v="8"/>
    <n v="158.11000000000001"/>
    <n v="1264.8800000000001"/>
    <s v="in progress"/>
    <s v="Jan"/>
    <n v="158.11000000000001"/>
  </r>
  <r>
    <s v="2aa81ea5-ece0-4d0b-aea1-e462688347bc"/>
    <s v="Scott Wells"/>
    <d v="2023-05-15T00:00:00"/>
    <x v="2"/>
    <x v="1"/>
    <m/>
    <n v="185.31"/>
    <m/>
    <s v="CANCELLED"/>
    <s v="May"/>
    <s v=""/>
  </r>
  <r>
    <s v="917cdd2c-0332-4562-8da4-5223c1dbbb8d"/>
    <s v="Katherine Wilkins"/>
    <d v="2024-11-04T00:00:00"/>
    <x v="0"/>
    <x v="2"/>
    <m/>
    <n v="98.81"/>
    <m/>
    <s v="completed "/>
    <s v="Nov"/>
    <s v=""/>
  </r>
  <r>
    <s v="260fd877-8660-468d-92e6-a511e72f9690"/>
    <s v="Timothy Baldwin"/>
    <d v="2024-05-03T00:00:00"/>
    <x v="1"/>
    <x v="4"/>
    <n v="6"/>
    <n v="48.71"/>
    <n v="292.26"/>
    <s v="in progress"/>
    <s v="May"/>
    <n v="48.71"/>
  </r>
  <r>
    <s v="f8d5f0b0-ce56-48e6-933f-3e6fa7ac4fc9"/>
    <s v="David Graham"/>
    <d v="2023-11-17T00:00:00"/>
    <x v="0"/>
    <x v="2"/>
    <m/>
    <n v="29.76"/>
    <m/>
    <s v="Cancelled "/>
    <s v="Nov"/>
    <s v=""/>
  </r>
  <r>
    <s v="3db435c8-6223-4b24-85bb-ab2f3199b67e"/>
    <s v="Denise Flores"/>
    <d v="2023-06-13T00:00:00"/>
    <x v="1"/>
    <x v="2"/>
    <n v="4"/>
    <n v="106.51"/>
    <n v="426.04"/>
    <s v="Completed"/>
    <s v="Jun"/>
    <n v="106.51"/>
  </r>
  <r>
    <s v="afa293b1-a527-475f-ad78-708ccc26fec5"/>
    <s v="Christopher Gray"/>
    <d v="2024-10-24T00:00:00"/>
    <x v="4"/>
    <x v="1"/>
    <m/>
    <n v="187.93"/>
    <m/>
    <s v="CANCELLED"/>
    <s v="Oct"/>
    <s v=""/>
  </r>
  <r>
    <s v="2e6109d9-bde8-4864-b05e-e9ebc0c112d0"/>
    <s v="Mary Howard"/>
    <d v="2024-04-24T00:00:00"/>
    <x v="0"/>
    <x v="1"/>
    <m/>
    <n v="125.38"/>
    <m/>
    <s v="Completed"/>
    <s v="Apr"/>
    <s v=""/>
  </r>
  <r>
    <s v="4ebdc13b-0692-4729-ae64-d00d36098823"/>
    <s v="Lisa Little"/>
    <d v="2025-02-03T00:00:00"/>
    <x v="0"/>
    <x v="4"/>
    <m/>
    <n v="126.59"/>
    <m/>
    <s v="completed "/>
    <s v="Feb"/>
    <s v=""/>
  </r>
  <r>
    <s v="7707bbd7-145c-4535-b84a-45a8e8546924"/>
    <s v="Olivia Allen"/>
    <d v="2023-10-22T00:00:00"/>
    <x v="4"/>
    <x v="0"/>
    <n v="4"/>
    <n v="163.51"/>
    <n v="654.04"/>
    <s v="CANCELLED"/>
    <s v="Oct"/>
    <n v="163.51"/>
  </r>
  <r>
    <s v="7a1e8e17-29c9-4f9a-a783-323b5238d779"/>
    <s v="Larry Moses"/>
    <d v="2023-10-18T00:00:00"/>
    <x v="1"/>
    <x v="1"/>
    <m/>
    <n v="187.87"/>
    <m/>
    <s v="CANCELLED"/>
    <s v="Oct"/>
    <s v=""/>
  </r>
  <r>
    <s v="2eb2049e-27f1-4b06-8af7-ededea8d9c59"/>
    <s v="Renee Frank"/>
    <d v="2024-09-27T00:00:00"/>
    <x v="3"/>
    <x v="4"/>
    <m/>
    <n v="74.260000000000005"/>
    <m/>
    <s v="Completed"/>
    <s v="Sep"/>
    <s v=""/>
  </r>
  <r>
    <s v="25935d66-0791-4975-bff4-6db0c4b445ae"/>
    <s v="Micheal Lucas"/>
    <d v="2023-11-06T00:00:00"/>
    <x v="0"/>
    <x v="2"/>
    <m/>
    <n v="26.22"/>
    <m/>
    <s v="in progress"/>
    <s v="Nov"/>
    <s v=""/>
  </r>
  <r>
    <s v="a0ed3210-9fc4-4b0f-b5c5-23f74e5d2091"/>
    <s v="David Roberts"/>
    <d v="2024-08-15T00:00:00"/>
    <x v="0"/>
    <x v="2"/>
    <n v="5"/>
    <n v="43.87"/>
    <n v="219.35"/>
    <s v="Completed"/>
    <s v="Aug"/>
    <n v="43.87"/>
  </r>
  <r>
    <s v="902e158f-a607-4f72-b1bd-f7b09a1b908a"/>
    <s v="Maria King"/>
    <d v="2025-03-25T00:00:00"/>
    <x v="1"/>
    <x v="3"/>
    <m/>
    <n v="136.94999999999999"/>
    <m/>
    <s v="Cancelled "/>
    <s v="Mar"/>
    <s v=""/>
  </r>
  <r>
    <s v="c8673dd3-beec-4205-a816-6d67c024c109"/>
    <s v="Taylor French"/>
    <d v="2024-06-10T00:00:00"/>
    <x v="4"/>
    <x v="2"/>
    <n v="3"/>
    <n v="18.95"/>
    <n v="56.85"/>
    <s v="Cancelled "/>
    <s v="Jun"/>
    <n v="18.95"/>
  </r>
  <r>
    <s v="30aa4a48-545e-4052-bad5-bcc68e4a9877"/>
    <s v="Ralph Washington"/>
    <d v="2024-08-12T00:00:00"/>
    <x v="4"/>
    <x v="4"/>
    <m/>
    <n v="121.96"/>
    <m/>
    <s v="Completed"/>
    <s v="Aug"/>
    <s v=""/>
  </r>
  <r>
    <s v="c0523829-fee4-4206-919b-7050ee85d7a6"/>
    <s v="Morgan Campbell"/>
    <d v="2023-09-29T00:00:00"/>
    <x v="0"/>
    <x v="3"/>
    <m/>
    <n v="31.2"/>
    <m/>
    <s v="In-Progress"/>
    <s v="Sep"/>
    <s v=""/>
  </r>
  <r>
    <s v="e7ad8a94-d865-4f10-a942-eda2aeeb550e"/>
    <s v="Donald Bowman"/>
    <d v="2024-05-16T00:00:00"/>
    <x v="0"/>
    <x v="0"/>
    <n v="2"/>
    <n v="170.53"/>
    <n v="341.06"/>
    <s v="CANCELLED"/>
    <s v="May"/>
    <n v="170.53"/>
  </r>
  <r>
    <s v="9b6341b4-0bc8-4da1-a510-367403b0e021"/>
    <s v="Jesus Edwards"/>
    <d v="2024-01-24T00:00:00"/>
    <x v="2"/>
    <x v="2"/>
    <m/>
    <n v="65.510000000000005"/>
    <m/>
    <s v="CANCELLED"/>
    <s v="Jan"/>
    <s v=""/>
  </r>
  <r>
    <s v="f627bf8c-5bee-42cb-a3fc-8a4b9e00f34b"/>
    <s v="Angela Gardner"/>
    <d v="2023-12-18T00:00:00"/>
    <x v="2"/>
    <x v="4"/>
    <n v="5"/>
    <n v="83.46"/>
    <n v="417.3"/>
    <s v="CANCELLED"/>
    <s v="Dec"/>
    <n v="83.460000000000008"/>
  </r>
  <r>
    <s v="4805f070-41c5-4d34-8b32-a6811663b8e7"/>
    <s v="Kristen Stephenson"/>
    <d v="2024-11-05T00:00:00"/>
    <x v="3"/>
    <x v="0"/>
    <n v="7"/>
    <n v="136.26"/>
    <n v="953.82"/>
    <s v="Cancelled "/>
    <s v="Nov"/>
    <n v="136.26000000000002"/>
  </r>
  <r>
    <s v="251fa1ab-6244-4485-a2b3-c4ba853d0d2c"/>
    <s v="David Allen"/>
    <d v="2023-07-16T00:00:00"/>
    <x v="2"/>
    <x v="0"/>
    <m/>
    <n v="164.24"/>
    <m/>
    <s v="completed "/>
    <s v="Jul"/>
    <s v=""/>
  </r>
  <r>
    <s v="baf4f1c4-c28f-4b83-b993-003a3e8b1917"/>
    <s v="Tracy Figueroa"/>
    <d v="2025-04-28T00:00:00"/>
    <x v="0"/>
    <x v="3"/>
    <m/>
    <n v="38.85"/>
    <m/>
    <s v="In-Progress"/>
    <s v="Apr"/>
    <s v=""/>
  </r>
  <r>
    <s v="27ecbdf7-8b71-4a68-b4b0-54f9c89bc47f"/>
    <s v="Bryan Davidson"/>
    <d v="2024-11-17T00:00:00"/>
    <x v="0"/>
    <x v="2"/>
    <m/>
    <n v="112.31"/>
    <m/>
    <s v="Cancelled "/>
    <s v="Nov"/>
    <s v=""/>
  </r>
  <r>
    <s v="52d7ea40-9f5e-451e-9128-cb62e9e2a311"/>
    <s v="Debra Aguilar"/>
    <d v="2023-11-24T00:00:00"/>
    <x v="4"/>
    <x v="2"/>
    <n v="4"/>
    <n v="180.23"/>
    <m/>
    <s v="Completed"/>
    <s v="Nov"/>
    <s v=""/>
  </r>
  <r>
    <s v="5fa37b1e-3bbf-4182-bb2d-f4fadd7cac19"/>
    <s v="Heather Wright"/>
    <d v="2025-01-19T00:00:00"/>
    <x v="3"/>
    <x v="3"/>
    <n v="1"/>
    <n v="67.81"/>
    <n v="67.81"/>
    <s v="In-Progress"/>
    <s v="Jan"/>
    <n v="67.81"/>
  </r>
  <r>
    <s v="ca2de995-5a2e-4b93-9759-5e645808b419"/>
    <s v="Walter Hess"/>
    <d v="2024-05-17T00:00:00"/>
    <x v="0"/>
    <x v="2"/>
    <m/>
    <n v="44.94"/>
    <m/>
    <s v="CANCELLED"/>
    <s v="May"/>
    <s v=""/>
  </r>
  <r>
    <s v="afb3377f-a2df-4ad1-8559-1b0ff8b103a1"/>
    <s v="Kristen Chaney"/>
    <d v="2023-06-18T00:00:00"/>
    <x v="4"/>
    <x v="1"/>
    <m/>
    <n v="24.6"/>
    <m/>
    <s v="CANCELLED"/>
    <s v="Jun"/>
    <s v=""/>
  </r>
  <r>
    <s v="ce78d751-2232-4103-8638-723a94d02c68"/>
    <s v="Jillian Beasley"/>
    <d v="2023-05-30T00:00:00"/>
    <x v="0"/>
    <x v="3"/>
    <n v="1"/>
    <n v="118.76"/>
    <n v="118.76"/>
    <s v="In-Progress"/>
    <s v="May"/>
    <n v="118.76"/>
  </r>
  <r>
    <s v="4dec7998-6022-427a-bfdd-4a8ddafa640f"/>
    <s v="Jeffery Hall"/>
    <d v="2023-07-01T00:00:00"/>
    <x v="0"/>
    <x v="0"/>
    <n v="9"/>
    <n v="25.96"/>
    <n v="233.64"/>
    <s v="in progress"/>
    <s v="Jul"/>
    <n v="25.959999999999997"/>
  </r>
  <r>
    <s v="58a07df2-0b8b-40b1-b3cd-0f9b88b24552"/>
    <s v="Bobby Garcia"/>
    <d v="2024-05-19T00:00:00"/>
    <x v="3"/>
    <x v="3"/>
    <n v="8"/>
    <n v="172.92"/>
    <n v="1383.36"/>
    <s v="completed "/>
    <s v="May"/>
    <n v="172.92"/>
  </r>
  <r>
    <s v="728232f1-5366-4d41-9702-9dcb547b7a23"/>
    <s v="Thomas Hines"/>
    <d v="2024-09-21T00:00:00"/>
    <x v="3"/>
    <x v="4"/>
    <m/>
    <n v="128.53"/>
    <m/>
    <s v="Completed"/>
    <s v="Sep"/>
    <s v=""/>
  </r>
  <r>
    <s v="e694c399-5eff-43ab-b90a-1eb23e1db9b0"/>
    <s v="Brittany Fisher"/>
    <d v="2024-05-14T00:00:00"/>
    <x v="4"/>
    <x v="1"/>
    <m/>
    <n v="126.95"/>
    <m/>
    <s v="Completed"/>
    <s v="May"/>
    <s v=""/>
  </r>
  <r>
    <s v="b5250cfc-e119-4989-9f11-82f183bd9497"/>
    <s v="Matthew Murphy"/>
    <d v="2025-03-28T00:00:00"/>
    <x v="1"/>
    <x v="4"/>
    <m/>
    <n v="185.6"/>
    <m/>
    <s v="CANCELLED"/>
    <s v="Mar"/>
    <s v=""/>
  </r>
  <r>
    <s v="97f24dad-e9c4-40c2-b690-c7f06186e0c5"/>
    <s v="Jason Wise"/>
    <d v="2024-12-05T00:00:00"/>
    <x v="3"/>
    <x v="2"/>
    <m/>
    <n v="120.65"/>
    <m/>
    <s v="In-Progress"/>
    <s v="Dec"/>
    <s v=""/>
  </r>
  <r>
    <s v="3abb8d56-dc80-4143-aa64-0e9771de573e"/>
    <s v="April Wilson"/>
    <d v="2024-07-03T00:00:00"/>
    <x v="4"/>
    <x v="2"/>
    <m/>
    <n v="117.27"/>
    <m/>
    <s v="CANCELLED"/>
    <s v="Jul"/>
    <s v=""/>
  </r>
  <r>
    <s v="6c21ba00-2276-48c1-b6b9-e4bcfe36e02e"/>
    <s v="Derek Powell"/>
    <d v="2024-04-04T00:00:00"/>
    <x v="4"/>
    <x v="1"/>
    <m/>
    <n v="183.51"/>
    <m/>
    <s v="Completed"/>
    <s v="Apr"/>
    <s v=""/>
  </r>
  <r>
    <s v="5bbdea84-1070-4a39-ae79-443ff835526a"/>
    <s v="Patrick Owens"/>
    <d v="2023-06-03T00:00:00"/>
    <x v="1"/>
    <x v="1"/>
    <n v="5"/>
    <n v="162.04"/>
    <n v="810.2"/>
    <s v="Completed"/>
    <s v="Jun"/>
    <n v="162.04000000000002"/>
  </r>
  <r>
    <s v="eef7e98a-2dd6-4cc0-8239-b0846d4e2e79"/>
    <s v="Wendy Jenkins"/>
    <d v="2024-08-20T00:00:00"/>
    <x v="4"/>
    <x v="1"/>
    <m/>
    <n v="125.25"/>
    <m/>
    <s v="in progress"/>
    <s v="Aug"/>
    <s v=""/>
  </r>
  <r>
    <s v="a01bbd68-3088-435b-a200-daa6e15af18e"/>
    <s v="Lauren Murray"/>
    <d v="2024-07-04T00:00:00"/>
    <x v="2"/>
    <x v="1"/>
    <n v="9"/>
    <n v="67.680000000000007"/>
    <n v="609.12"/>
    <s v="Cancelled "/>
    <s v="Jul"/>
    <n v="67.680000000000007"/>
  </r>
  <r>
    <s v="acc114e3-7065-4bab-907d-48c8f59b78f0"/>
    <s v="Kimberly Munoz"/>
    <d v="2023-10-03T00:00:00"/>
    <x v="0"/>
    <x v="1"/>
    <n v="2"/>
    <n v="179.09"/>
    <n v="358.18"/>
    <s v="completed "/>
    <s v="Oct"/>
    <n v="179.09"/>
  </r>
  <r>
    <s v="5963264e-4c76-4631-b17d-2ee9a0b4228a"/>
    <s v="Jessica Brady"/>
    <d v="2024-12-24T00:00:00"/>
    <x v="2"/>
    <x v="2"/>
    <m/>
    <n v="149.38"/>
    <m/>
    <s v="Cancelled "/>
    <s v="Dec"/>
    <s v=""/>
  </r>
  <r>
    <s v="fed625bf-f58e-41e0-bf81-d9862ab9ade8"/>
    <s v="Maria Chen"/>
    <d v="2024-02-17T00:00:00"/>
    <x v="0"/>
    <x v="4"/>
    <n v="3"/>
    <n v="29.61"/>
    <n v="88.83"/>
    <s v="completed "/>
    <s v="Feb"/>
    <n v="29.61"/>
  </r>
  <r>
    <s v="248655d7-0598-43a3-bf8c-a6986bcad11a"/>
    <s v="Daniel Marshall"/>
    <d v="2024-12-02T00:00:00"/>
    <x v="0"/>
    <x v="1"/>
    <m/>
    <n v="34.86"/>
    <m/>
    <s v="in progress"/>
    <s v="Dec"/>
    <s v=""/>
  </r>
  <r>
    <s v="9daf0be4-4a8d-4ed7-9a0c-40df1ad56ee4"/>
    <s v="James Brown"/>
    <d v="2024-01-05T00:00:00"/>
    <x v="3"/>
    <x v="0"/>
    <n v="8"/>
    <n v="192.95"/>
    <n v="1543.6"/>
    <s v="Completed"/>
    <s v="Jan"/>
    <n v="192.95"/>
  </r>
  <r>
    <s v="bf9d6f93-2683-4e31-924f-bf9d00d7e43b"/>
    <s v="Heidi Morris"/>
    <d v="2025-04-23T00:00:00"/>
    <x v="0"/>
    <x v="0"/>
    <m/>
    <n v="63.13"/>
    <m/>
    <s v="in progress"/>
    <s v="Apr"/>
    <s v=""/>
  </r>
  <r>
    <s v="38c485b7-8c2e-4a38-8528-43e2e0ca3798"/>
    <s v="Richard King"/>
    <d v="2024-02-24T00:00:00"/>
    <x v="3"/>
    <x v="3"/>
    <m/>
    <n v="197.05"/>
    <m/>
    <s v="Completed"/>
    <s v="Feb"/>
    <s v=""/>
  </r>
  <r>
    <s v="5d6275ec-8b88-4048-b633-e0b6ebd8a468"/>
    <s v="Luis Wilson"/>
    <d v="2024-04-22T00:00:00"/>
    <x v="3"/>
    <x v="0"/>
    <m/>
    <n v="57.7"/>
    <m/>
    <s v="CANCELLED"/>
    <s v="Apr"/>
    <s v=""/>
  </r>
  <r>
    <s v="5e6592db-43a7-48ee-93dc-1cdea8a2b906"/>
    <s v="Laura Peterson"/>
    <d v="2025-02-03T00:00:00"/>
    <x v="3"/>
    <x v="0"/>
    <m/>
    <n v="183.97"/>
    <m/>
    <s v="in progress"/>
    <s v="Feb"/>
    <s v=""/>
  </r>
  <r>
    <s v="0025a298-19b5-42f9-b664-b768d7f6f976"/>
    <s v="Matthew Burton"/>
    <d v="2024-06-21T00:00:00"/>
    <x v="3"/>
    <x v="4"/>
    <n v="3"/>
    <n v="121.81"/>
    <n v="365.43"/>
    <s v="Cancelled "/>
    <s v="Jun"/>
    <n v="121.81"/>
  </r>
  <r>
    <s v="9d29dae1-026d-45cd-bdc9-46967916c538"/>
    <s v="Steven Rivera"/>
    <d v="2023-06-24T00:00:00"/>
    <x v="3"/>
    <x v="4"/>
    <n v="5"/>
    <n v="145.75"/>
    <n v="728.75"/>
    <s v="completed "/>
    <s v="Jun"/>
    <n v="145.75"/>
  </r>
  <r>
    <s v="25c0aee8-7aba-4892-ad14-fdf27806a130"/>
    <s v="Kristie Chang"/>
    <d v="2023-09-11T00:00:00"/>
    <x v="2"/>
    <x v="4"/>
    <m/>
    <n v="22.01"/>
    <m/>
    <s v="Completed"/>
    <s v="Sep"/>
    <s v=""/>
  </r>
  <r>
    <s v="d40bc964-ab4d-4ade-8d95-579e5bce55fb"/>
    <s v="Eugene Mccann"/>
    <d v="2023-05-23T00:00:00"/>
    <x v="0"/>
    <x v="2"/>
    <n v="5"/>
    <n v="157.61000000000001"/>
    <n v="788.05"/>
    <s v="Completed"/>
    <s v="May"/>
    <n v="157.60999999999999"/>
  </r>
  <r>
    <s v="2e5d84b6-de8f-4a00-b441-d22d100927bb"/>
    <s v="Jasmine Chase"/>
    <d v="2023-08-31T00:00:00"/>
    <x v="0"/>
    <x v="2"/>
    <m/>
    <n v="45.58"/>
    <m/>
    <s v="In-Progress"/>
    <s v="Aug"/>
    <s v=""/>
  </r>
  <r>
    <s v="5c607cf9-9825-44ad-b1a9-2ed9adbf56d3"/>
    <s v="Kevin Jordan"/>
    <d v="2023-06-12T00:00:00"/>
    <x v="1"/>
    <x v="3"/>
    <n v="4"/>
    <n v="72.88"/>
    <n v="291.52"/>
    <s v="Completed"/>
    <s v="Jun"/>
    <n v="72.88"/>
  </r>
  <r>
    <s v="9d84a9c0-08db-4d7e-bd3b-8bcdde67fb5a"/>
    <s v="Jamie Parrish"/>
    <d v="2023-11-03T00:00:00"/>
    <x v="0"/>
    <x v="3"/>
    <n v="9"/>
    <n v="99.32"/>
    <n v="893.88"/>
    <s v="Cancelled "/>
    <s v="Nov"/>
    <n v="99.32"/>
  </r>
  <r>
    <s v="bf9903e9-89fc-441d-a7ce-9c2fb093b20e"/>
    <s v="Brad Duncan"/>
    <d v="2023-09-24T00:00:00"/>
    <x v="0"/>
    <x v="4"/>
    <n v="9"/>
    <n v="173.69"/>
    <n v="1563.21"/>
    <s v="CANCELLED"/>
    <s v="Sep"/>
    <n v="173.69"/>
  </r>
  <r>
    <s v="3c74f733-b149-4273-89cc-a1df77cd1ed2"/>
    <s v="Kyle Edwards"/>
    <d v="2023-12-03T00:00:00"/>
    <x v="0"/>
    <x v="3"/>
    <m/>
    <n v="137.41999999999999"/>
    <m/>
    <s v="CANCELLED"/>
    <s v="Dec"/>
    <s v=""/>
  </r>
  <r>
    <s v="6de2b7a0-34ed-44d8-adf2-6d81cedba1cf"/>
    <s v="Karen Turner"/>
    <d v="2024-09-03T00:00:00"/>
    <x v="3"/>
    <x v="0"/>
    <m/>
    <n v="74.040000000000006"/>
    <m/>
    <s v="Cancelled "/>
    <s v="Sep"/>
    <s v=""/>
  </r>
  <r>
    <s v="bacd8c0a-5006-4fe5-916e-f17e179969bd"/>
    <s v="Amanda Mccarthy"/>
    <d v="2025-02-24T00:00:00"/>
    <x v="3"/>
    <x v="2"/>
    <n v="8"/>
    <n v="110.37"/>
    <n v="882.96"/>
    <s v="in progress"/>
    <s v="Feb"/>
    <n v="110.37"/>
  </r>
  <r>
    <s v="2b444cd5-5a0d-4e08-b9a4-2ea8391f921a"/>
    <s v="Jason Mullins"/>
    <d v="2024-10-27T00:00:00"/>
    <x v="0"/>
    <x v="4"/>
    <n v="7"/>
    <n v="167.68"/>
    <m/>
    <s v="Completed"/>
    <s v="Oct"/>
    <s v=""/>
  </r>
  <r>
    <s v="77ea965f-7f9e-41b7-b2b6-04d2f336f2a2"/>
    <s v="Madeline Bautista"/>
    <d v="2023-11-10T00:00:00"/>
    <x v="4"/>
    <x v="2"/>
    <n v="8"/>
    <n v="87.32"/>
    <n v="698.56"/>
    <s v="in progress"/>
    <s v="Nov"/>
    <n v="87.32"/>
  </r>
  <r>
    <s v="37f74060-ea73-4dcc-a631-e95f382cb538"/>
    <s v="Jeremiah Scott"/>
    <d v="2024-07-16T00:00:00"/>
    <x v="0"/>
    <x v="2"/>
    <m/>
    <n v="79.36"/>
    <m/>
    <s v="Completed"/>
    <s v="Jul"/>
    <s v=""/>
  </r>
  <r>
    <s v="bace5aee-a810-4ee9-b34d-b84079e024ff"/>
    <s v="Jennifer Trujillo"/>
    <d v="2024-07-21T00:00:00"/>
    <x v="2"/>
    <x v="2"/>
    <n v="6"/>
    <n v="188.03"/>
    <n v="1128.18"/>
    <s v="Cancelled "/>
    <s v="Jul"/>
    <n v="188.03"/>
  </r>
  <r>
    <s v="854995ea-78fc-435d-9f7c-dfbfcf20bbb6"/>
    <s v="Tara Stone"/>
    <d v="2024-11-16T00:00:00"/>
    <x v="2"/>
    <x v="1"/>
    <m/>
    <n v="169.83"/>
    <m/>
    <s v="completed "/>
    <s v="Nov"/>
    <s v=""/>
  </r>
  <r>
    <s v="8b703387-cc39-418f-80af-4d09f5c72680"/>
    <s v="Patricia Gillespie"/>
    <d v="2024-04-25T00:00:00"/>
    <x v="2"/>
    <x v="4"/>
    <n v="7"/>
    <n v="99.69"/>
    <n v="697.83"/>
    <s v="Cancelled "/>
    <s v="Apr"/>
    <n v="99.690000000000012"/>
  </r>
  <r>
    <s v="79539381-b904-4f31-996d-df3f6f531000"/>
    <s v="Anthony Clarke"/>
    <d v="2024-09-07T00:00:00"/>
    <x v="3"/>
    <x v="3"/>
    <m/>
    <n v="67.44"/>
    <m/>
    <s v="In-Progress"/>
    <s v="Sep"/>
    <s v=""/>
  </r>
  <r>
    <s v="9d1e081f-0b06-41e9-9d23-4e4afde04db4"/>
    <s v="Tracy Richard"/>
    <d v="2024-04-30T00:00:00"/>
    <x v="4"/>
    <x v="4"/>
    <m/>
    <n v="35.53"/>
    <m/>
    <s v="CANCELLED"/>
    <s v="Apr"/>
    <s v=""/>
  </r>
  <r>
    <s v="9e836714-43a6-444d-98b0-ad823209c5c8"/>
    <s v="Juan Sullivan"/>
    <d v="2023-05-13T00:00:00"/>
    <x v="0"/>
    <x v="4"/>
    <m/>
    <n v="112.87"/>
    <m/>
    <s v="in progress"/>
    <s v="May"/>
    <s v=""/>
  </r>
  <r>
    <s v="059ec945-a03b-4a7c-9782-0b7be4e8de13"/>
    <s v="Brandon Munoz"/>
    <d v="2023-10-26T00:00:00"/>
    <x v="2"/>
    <x v="2"/>
    <n v="1"/>
    <n v="47.29"/>
    <n v="47.29"/>
    <s v="Completed"/>
    <s v="Oct"/>
    <n v="47.29"/>
  </r>
  <r>
    <s v="ab17310c-a7ae-4a36-8ff4-9a2722bfaec7"/>
    <s v="Cynthia Dodson"/>
    <d v="2023-08-30T00:00:00"/>
    <x v="4"/>
    <x v="3"/>
    <m/>
    <n v="165.58"/>
    <m/>
    <s v="Cancelled "/>
    <s v="Aug"/>
    <s v=""/>
  </r>
  <r>
    <s v="056f41bb-7dc8-4040-9cc0-288b757dd144"/>
    <s v="Angela Daniels"/>
    <d v="2024-03-19T00:00:00"/>
    <x v="3"/>
    <x v="3"/>
    <m/>
    <n v="16.739999999999998"/>
    <m/>
    <s v="CANCELLED"/>
    <s v="Mar"/>
    <s v=""/>
  </r>
  <r>
    <s v="af4ed721-ad7f-419f-871e-e8306c852369"/>
    <s v="Dr. James Cooke MD"/>
    <d v="2023-10-04T00:00:00"/>
    <x v="2"/>
    <x v="2"/>
    <m/>
    <n v="20.62"/>
    <m/>
    <s v="Cancelled "/>
    <s v="Oct"/>
    <s v=""/>
  </r>
  <r>
    <s v="faa23dcf-ab41-4e86-b27b-108495049b21"/>
    <s v="Jose Weaver"/>
    <d v="2023-10-20T00:00:00"/>
    <x v="0"/>
    <x v="0"/>
    <n v="8"/>
    <n v="71.510000000000005"/>
    <n v="572.08000000000004"/>
    <s v="Cancelled "/>
    <s v="Oct"/>
    <n v="71.510000000000005"/>
  </r>
  <r>
    <s v="e808f965-b336-422a-8e2f-a035ba3e595a"/>
    <s v="Frederick Fisher"/>
    <d v="2024-07-28T00:00:00"/>
    <x v="0"/>
    <x v="3"/>
    <n v="8"/>
    <n v="93.96"/>
    <n v="751.68"/>
    <s v="Completed"/>
    <s v="Jul"/>
    <n v="93.96"/>
  </r>
  <r>
    <s v="62e543d9-0d1c-43b5-a509-aef33700e9f6"/>
    <s v="Carla Irwin"/>
    <d v="2024-06-20T00:00:00"/>
    <x v="0"/>
    <x v="4"/>
    <m/>
    <n v="91.81"/>
    <m/>
    <s v="Completed"/>
    <s v="Jun"/>
    <s v=""/>
  </r>
  <r>
    <s v="5c1f170f-f7e8-4ecd-b862-79e5688df66a"/>
    <s v="Cole Kidd"/>
    <d v="2025-01-19T00:00:00"/>
    <x v="1"/>
    <x v="0"/>
    <n v="7"/>
    <n v="170.03"/>
    <m/>
    <s v="completed "/>
    <s v="Jan"/>
    <s v=""/>
  </r>
  <r>
    <s v="f38767ae-2c7c-4bcd-938b-8c47621ea7e2"/>
    <s v="Angela Hicks"/>
    <d v="2024-04-16T00:00:00"/>
    <x v="2"/>
    <x v="4"/>
    <m/>
    <n v="43.97"/>
    <m/>
    <s v="Cancelled "/>
    <s v="Apr"/>
    <s v=""/>
  </r>
  <r>
    <s v="02105448-a179-422b-b6a5-159b5fec3f09"/>
    <s v="Holly Page MD"/>
    <d v="2025-01-10T00:00:00"/>
    <x v="2"/>
    <x v="0"/>
    <n v="6"/>
    <n v="167.53"/>
    <n v="1005.18"/>
    <s v="CANCELLED"/>
    <s v="Jan"/>
    <n v="167.53"/>
  </r>
  <r>
    <s v="b955b469-a12a-4c3d-a2d1-faa017324af4"/>
    <s v="Joshua Sutton"/>
    <d v="2024-10-05T00:00:00"/>
    <x v="0"/>
    <x v="2"/>
    <m/>
    <n v="161.30000000000001"/>
    <m/>
    <s v="in progress"/>
    <s v="Oct"/>
    <s v=""/>
  </r>
  <r>
    <s v="ff7e43f8-c1ce-482a-86eb-6fdd65d34c43"/>
    <s v="Jill James"/>
    <d v="2024-06-08T00:00:00"/>
    <x v="4"/>
    <x v="1"/>
    <n v="3"/>
    <n v="83.01"/>
    <n v="249.03"/>
    <s v="Completed"/>
    <s v="Jun"/>
    <n v="83.01"/>
  </r>
  <r>
    <s v="32d993e5-3498-478f-9d00-72d4d4dc210e"/>
    <s v="James James"/>
    <d v="2024-04-14T00:00:00"/>
    <x v="1"/>
    <x v="4"/>
    <m/>
    <n v="103.68"/>
    <m/>
    <s v="Cancelled "/>
    <s v="Apr"/>
    <s v=""/>
  </r>
  <r>
    <s v="ef49febb-661f-438f-94d2-f34152e32a7e"/>
    <s v="Laura Brown"/>
    <d v="2024-11-27T00:00:00"/>
    <x v="0"/>
    <x v="1"/>
    <m/>
    <n v="59.21"/>
    <m/>
    <s v="completed "/>
    <s v="Nov"/>
    <s v=""/>
  </r>
  <r>
    <s v="5819cbc9-e002-4f60-89ab-d5ac05406417"/>
    <s v="Douglas Snyder"/>
    <d v="2024-07-19T00:00:00"/>
    <x v="4"/>
    <x v="1"/>
    <n v="8"/>
    <n v="61.88"/>
    <n v="495.04"/>
    <s v="completed "/>
    <s v="Jul"/>
    <n v="61.88"/>
  </r>
  <r>
    <s v="c7129cd2-80e3-4041-ab67-48f285d21fe4"/>
    <s v="Patricia Ramirez"/>
    <d v="2024-12-01T00:00:00"/>
    <x v="0"/>
    <x v="3"/>
    <m/>
    <n v="194.09"/>
    <m/>
    <s v="CANCELLED"/>
    <s v="Dec"/>
    <s v=""/>
  </r>
  <r>
    <s v="1995fa8e-2fce-46f5-b74e-5ae4c74b0792"/>
    <s v="Austin Martinez"/>
    <d v="2025-03-02T00:00:00"/>
    <x v="0"/>
    <x v="1"/>
    <n v="1"/>
    <n v="158.30000000000001"/>
    <n v="158.30000000000001"/>
    <s v="completed "/>
    <s v="Mar"/>
    <n v="158.30000000000001"/>
  </r>
  <r>
    <s v="390d9723-e882-4ad0-8701-6d6b656553e0"/>
    <s v="Kimberly Padilla"/>
    <d v="2023-06-24T00:00:00"/>
    <x v="4"/>
    <x v="0"/>
    <m/>
    <n v="194.86"/>
    <m/>
    <s v="Cancelled "/>
    <s v="Jun"/>
    <s v=""/>
  </r>
  <r>
    <s v="7746e89f-4792-4920-bdb0-8404473f406b"/>
    <s v="Sonya Mann"/>
    <d v="2024-09-15T00:00:00"/>
    <x v="3"/>
    <x v="4"/>
    <n v="7"/>
    <n v="94.83"/>
    <n v="663.81"/>
    <s v="completed "/>
    <s v="Sep"/>
    <n v="94.83"/>
  </r>
  <r>
    <s v="6be55bf7-7017-46b5-bec4-55dea0eb4427"/>
    <s v="Stephanie Hernandez"/>
    <d v="2024-07-28T00:00:00"/>
    <x v="1"/>
    <x v="4"/>
    <n v="4"/>
    <n v="173.66"/>
    <n v="694.64"/>
    <s v="in progress"/>
    <s v="Jul"/>
    <n v="173.66"/>
  </r>
  <r>
    <s v="6d6a82d4-699d-4374-9bcd-957e03573a66"/>
    <s v="Amy Valenzuela"/>
    <d v="2023-12-18T00:00:00"/>
    <x v="4"/>
    <x v="3"/>
    <n v="6"/>
    <n v="185.22"/>
    <n v="1111.32"/>
    <s v="in progress"/>
    <s v="Dec"/>
    <n v="185.22"/>
  </r>
  <r>
    <s v="35a0e4b4-1e38-44fa-8a22-63c4945f565e"/>
    <s v="Bryan Berg"/>
    <d v="2024-02-26T00:00:00"/>
    <x v="3"/>
    <x v="0"/>
    <n v="9"/>
    <n v="179.01"/>
    <n v="1611.09"/>
    <s v="in progress"/>
    <s v="Feb"/>
    <n v="179.01"/>
  </r>
  <r>
    <s v="56c45ff8-41e1-4c43-bf21-a7e9ed2b9fe4"/>
    <s v="Lynn Mora"/>
    <d v="2023-11-16T00:00:00"/>
    <x v="2"/>
    <x v="1"/>
    <n v="1"/>
    <n v="175.11"/>
    <n v="175.11"/>
    <s v="completed "/>
    <s v="Nov"/>
    <n v="175.11"/>
  </r>
  <r>
    <s v="ffef2cf9-803a-46d2-aac4-1a0537b5a521"/>
    <s v="Cassandra Evans"/>
    <d v="2023-07-28T00:00:00"/>
    <x v="0"/>
    <x v="1"/>
    <n v="5"/>
    <n v="56.32"/>
    <n v="281.60000000000002"/>
    <s v="in progress"/>
    <s v="Jul"/>
    <n v="56.320000000000007"/>
  </r>
  <r>
    <s v="49a51c79-3b02-42c7-9607-abdf67a21aae"/>
    <s v="Richard Gross"/>
    <d v="2024-07-16T00:00:00"/>
    <x v="3"/>
    <x v="2"/>
    <m/>
    <n v="126.17"/>
    <m/>
    <s v="completed "/>
    <s v="Jul"/>
    <s v=""/>
  </r>
  <r>
    <s v="196ebaec-7b52-419e-8ea7-5fc3ebd97b38"/>
    <s v="Austin Keller"/>
    <d v="2023-06-28T00:00:00"/>
    <x v="1"/>
    <x v="1"/>
    <m/>
    <n v="194.79"/>
    <m/>
    <s v="completed "/>
    <s v="Jun"/>
    <s v=""/>
  </r>
  <r>
    <s v="d1e4068e-a7e3-40e1-9030-f603e2972634"/>
    <s v="Jeremy Myers"/>
    <d v="2023-11-07T00:00:00"/>
    <x v="2"/>
    <x v="3"/>
    <n v="4"/>
    <n v="139.47999999999999"/>
    <n v="557.91999999999996"/>
    <s v="In-Progress"/>
    <s v="Nov"/>
    <n v="139.47999999999999"/>
  </r>
  <r>
    <s v="15e98ca6-b401-4cf4-8982-ee89ef3d1918"/>
    <s v="Courtney Wade"/>
    <d v="2024-10-18T00:00:00"/>
    <x v="2"/>
    <x v="3"/>
    <n v="6"/>
    <n v="118.9"/>
    <n v="713.4"/>
    <s v="Cancelled "/>
    <s v="Oct"/>
    <n v="118.89999999999999"/>
  </r>
  <r>
    <s v="80c96475-aea4-4d5c-b527-bac87d084159"/>
    <s v="Brian Smith"/>
    <d v="2024-08-08T00:00:00"/>
    <x v="1"/>
    <x v="4"/>
    <m/>
    <n v="169.35"/>
    <m/>
    <s v="In-Progress"/>
    <s v="Aug"/>
    <s v=""/>
  </r>
  <r>
    <s v="414aeb3b-fcbd-4754-aef9-19ce04115521"/>
    <s v="Randall Goodwin"/>
    <d v="2024-09-28T00:00:00"/>
    <x v="0"/>
    <x v="1"/>
    <n v="5"/>
    <n v="165.15"/>
    <n v="825.75"/>
    <s v="CANCELLED"/>
    <s v="Sep"/>
    <n v="165.15"/>
  </r>
  <r>
    <s v="5bf6172c-cef1-48ba-ad43-a9159cf70c34"/>
    <s v="Patrick Hughes"/>
    <d v="2024-06-17T00:00:00"/>
    <x v="3"/>
    <x v="1"/>
    <m/>
    <n v="111.78"/>
    <m/>
    <s v="In-Progress"/>
    <s v="Jun"/>
    <s v=""/>
  </r>
  <r>
    <s v="885286b8-74f8-492b-a54d-7127ae9b897e"/>
    <s v="Christine Yates"/>
    <d v="2024-04-15T00:00:00"/>
    <x v="3"/>
    <x v="4"/>
    <n v="6"/>
    <n v="170.17"/>
    <n v="1021.02"/>
    <s v="Cancelled "/>
    <s v="Apr"/>
    <n v="170.17"/>
  </r>
  <r>
    <s v="8790da9d-1f4d-4a48-b69d-5bd51416a50a"/>
    <s v="Miranda Cook"/>
    <d v="2024-10-02T00:00:00"/>
    <x v="0"/>
    <x v="2"/>
    <n v="6"/>
    <n v="49.38"/>
    <n v="296.27999999999997"/>
    <s v="in progress"/>
    <s v="Oct"/>
    <n v="49.379999999999995"/>
  </r>
  <r>
    <s v="cea05a50-b679-4598-a33f-4c68342de082"/>
    <s v="Diane Lopez"/>
    <d v="2024-12-07T00:00:00"/>
    <x v="3"/>
    <x v="4"/>
    <m/>
    <n v="111.38"/>
    <m/>
    <s v="in progress"/>
    <s v="Dec"/>
    <s v=""/>
  </r>
  <r>
    <s v="ee55d0a4-ca98-4b58-a56d-fd733e04c9b7"/>
    <s v="Janet Allen"/>
    <d v="2023-07-28T00:00:00"/>
    <x v="0"/>
    <x v="1"/>
    <n v="8"/>
    <n v="154.27000000000001"/>
    <n v="1234.1600000000001"/>
    <s v="CANCELLED"/>
    <s v="Jul"/>
    <n v="154.27000000000001"/>
  </r>
  <r>
    <s v="86f55ff5-b362-425e-a766-0ff56f67223f"/>
    <s v="Isaac Nixon"/>
    <d v="2024-09-24T00:00:00"/>
    <x v="0"/>
    <x v="0"/>
    <n v="4"/>
    <n v="37.86"/>
    <n v="151.44"/>
    <s v="completed "/>
    <s v="Sep"/>
    <n v="37.86"/>
  </r>
  <r>
    <s v="a5d0d27f-6b7e-42b2-b190-f58d74a7a8d4"/>
    <s v="Lisa Herrera"/>
    <d v="2024-11-12T00:00:00"/>
    <x v="0"/>
    <x v="2"/>
    <n v="8"/>
    <n v="63.03"/>
    <n v="504.24"/>
    <s v="completed "/>
    <s v="Nov"/>
    <n v="63.03"/>
  </r>
  <r>
    <s v="e2abb6f5-4a0e-426f-ad85-96d46f1a8611"/>
    <s v="Ashley Clark"/>
    <d v="2025-04-19T00:00:00"/>
    <x v="3"/>
    <x v="2"/>
    <n v="8"/>
    <n v="89.27"/>
    <n v="714.16"/>
    <s v="in progress"/>
    <s v="Apr"/>
    <n v="89.27"/>
  </r>
  <r>
    <s v="e0b47738-248a-47c2-883e-f345f4dae833"/>
    <s v="George Jackson"/>
    <d v="2025-03-25T00:00:00"/>
    <x v="4"/>
    <x v="4"/>
    <n v="5"/>
    <n v="64.05"/>
    <n v="320.25"/>
    <s v="in progress"/>
    <s v="Mar"/>
    <n v="64.05"/>
  </r>
  <r>
    <s v="d9ad56ed-fdad-4103-96b2-0a20bf9be0bf"/>
    <s v="John Mckee"/>
    <d v="2023-10-29T00:00:00"/>
    <x v="1"/>
    <x v="4"/>
    <n v="4"/>
    <n v="26.7"/>
    <n v="106.8"/>
    <s v="Cancelled "/>
    <s v="Oct"/>
    <n v="26.7"/>
  </r>
  <r>
    <s v="778e4c4f-667e-4180-8923-854b8bf176b0"/>
    <s v="Jessica Mathews"/>
    <d v="2024-11-03T00:00:00"/>
    <x v="0"/>
    <x v="3"/>
    <n v="2"/>
    <n v="116.6"/>
    <n v="233.2"/>
    <s v="CANCELLED"/>
    <s v="Nov"/>
    <n v="116.6"/>
  </r>
  <r>
    <s v="9f6d5548-3a8d-42ee-9d78-77042bf8cd9b"/>
    <s v="Brandy Fernandez"/>
    <d v="2024-01-30T00:00:00"/>
    <x v="3"/>
    <x v="0"/>
    <m/>
    <n v="18.46"/>
    <m/>
    <s v="Completed"/>
    <s v="Jan"/>
    <s v=""/>
  </r>
  <r>
    <s v="87d9eab3-529b-4ca5-948b-73a17ca98d84"/>
    <s v="Curtis Rios"/>
    <d v="2024-01-28T00:00:00"/>
    <x v="3"/>
    <x v="2"/>
    <n v="3"/>
    <n v="196.56"/>
    <n v="589.67999999999995"/>
    <s v="completed "/>
    <s v="Jan"/>
    <n v="196.55999999999997"/>
  </r>
  <r>
    <s v="23c82cfa-467a-40c9-8c4d-cd52d8a0b84a"/>
    <s v="Jeffrey Gay"/>
    <d v="2023-11-11T00:00:00"/>
    <x v="1"/>
    <x v="0"/>
    <n v="4"/>
    <n v="184.75"/>
    <n v="739"/>
    <s v="completed "/>
    <s v="Nov"/>
    <n v="184.75"/>
  </r>
  <r>
    <s v="be7add5a-9d80-4f05-984e-87c606a600b2"/>
    <s v="Tammy Miller"/>
    <d v="2023-08-31T00:00:00"/>
    <x v="2"/>
    <x v="0"/>
    <n v="4"/>
    <n v="178.88"/>
    <n v="715.52"/>
    <s v="Completed"/>
    <s v="Aug"/>
    <n v="178.88"/>
  </r>
  <r>
    <s v="009f6d01-4f45-4781-b47f-425bb3404070"/>
    <s v="Gary Rodriguez"/>
    <d v="2024-11-19T00:00:00"/>
    <x v="1"/>
    <x v="2"/>
    <n v="5"/>
    <n v="68.78"/>
    <n v="343.9"/>
    <s v="CANCELLED"/>
    <s v="Nov"/>
    <n v="68.78"/>
  </r>
  <r>
    <s v="bfc51f95-20ae-478f-8b76-4d7b02eb0efb"/>
    <s v="Eric Porter"/>
    <d v="2023-09-02T00:00:00"/>
    <x v="1"/>
    <x v="3"/>
    <m/>
    <n v="182.81"/>
    <m/>
    <s v="Completed"/>
    <s v="Sep"/>
    <s v=""/>
  </r>
  <r>
    <s v="17faae66-624c-4719-b653-04df2bd0d305"/>
    <s v="Tiffany Miller MD"/>
    <d v="2024-02-10T00:00:00"/>
    <x v="2"/>
    <x v="4"/>
    <m/>
    <n v="139.94"/>
    <m/>
    <s v="Cancelled "/>
    <s v="Feb"/>
    <s v=""/>
  </r>
  <r>
    <s v="3a2b4c83-ba11-45b3-8e6c-6f4c72b1f309"/>
    <s v="David Yoder"/>
    <d v="2024-01-24T00:00:00"/>
    <x v="0"/>
    <x v="4"/>
    <m/>
    <n v="191.24"/>
    <m/>
    <s v="Cancelled "/>
    <s v="Jan"/>
    <s v=""/>
  </r>
  <r>
    <s v="984bb24a-d45f-4191-929d-6601f9d8464b"/>
    <s v="Linda Ortiz"/>
    <d v="2024-12-17T00:00:00"/>
    <x v="3"/>
    <x v="3"/>
    <m/>
    <n v="50.15"/>
    <m/>
    <s v="In-Progress"/>
    <s v="Dec"/>
    <s v=""/>
  </r>
  <r>
    <s v="cdd6101f-3a43-4b4c-a268-65fc45df286f"/>
    <s v="Amber Hartman"/>
    <d v="2024-05-06T00:00:00"/>
    <x v="3"/>
    <x v="1"/>
    <m/>
    <n v="68.209999999999994"/>
    <m/>
    <s v="completed "/>
    <s v="May"/>
    <s v=""/>
  </r>
  <r>
    <s v="2b257908-c856-49c8-9d38-c2d79f2ff8b6"/>
    <s v="Samantha Smith"/>
    <d v="2024-06-06T00:00:00"/>
    <x v="3"/>
    <x v="3"/>
    <n v="7"/>
    <n v="98.52"/>
    <n v="689.64"/>
    <s v="Cancelled "/>
    <s v="Jun"/>
    <n v="98.52"/>
  </r>
  <r>
    <s v="98d2240d-c2aa-4c1a-ab00-cbd4541b7e6d"/>
    <s v="Benjamin Cabrera"/>
    <d v="2024-04-07T00:00:00"/>
    <x v="3"/>
    <x v="0"/>
    <n v="8"/>
    <n v="143.99"/>
    <n v="1151.92"/>
    <s v="In-Progress"/>
    <s v="Apr"/>
    <n v="143.99"/>
  </r>
  <r>
    <s v="6065cf4e-601e-4ebd-8892-8ac9e3ff0acb"/>
    <s v="Victoria Branch"/>
    <d v="2024-06-12T00:00:00"/>
    <x v="3"/>
    <x v="4"/>
    <m/>
    <n v="105.17"/>
    <m/>
    <s v="completed "/>
    <s v="Jun"/>
    <s v=""/>
  </r>
  <r>
    <s v="7603f12f-148b-4e2d-9aec-c87b69b07c9e"/>
    <s v="Calvin Miller"/>
    <d v="2024-09-29T00:00:00"/>
    <x v="1"/>
    <x v="1"/>
    <m/>
    <n v="128.31"/>
    <m/>
    <s v="CANCELLED"/>
    <s v="Sep"/>
    <s v=""/>
  </r>
  <r>
    <s v="b2ddb300-93fa-4136-995d-52a52fd7503f"/>
    <s v="Adam Butler"/>
    <d v="2025-01-10T00:00:00"/>
    <x v="0"/>
    <x v="2"/>
    <n v="1"/>
    <n v="23.88"/>
    <n v="23.88"/>
    <s v="in progress"/>
    <s v="Jan"/>
    <n v="23.88"/>
  </r>
  <r>
    <s v="da45184e-405f-4ecd-901a-2fe3c7ace1ba"/>
    <s v="Gary Montes"/>
    <d v="2025-02-03T00:00:00"/>
    <x v="0"/>
    <x v="2"/>
    <m/>
    <n v="142.43"/>
    <m/>
    <s v="CANCELLED"/>
    <s v="Feb"/>
    <s v=""/>
  </r>
  <r>
    <s v="820b5851-2020-49bc-aaf1-9078bb2fb424"/>
    <s v="Jeremy Fitzgerald"/>
    <d v="2025-02-18T00:00:00"/>
    <x v="3"/>
    <x v="2"/>
    <n v="4"/>
    <n v="195.44"/>
    <n v="781.76"/>
    <s v="In-Progress"/>
    <s v="Feb"/>
    <n v="195.44"/>
  </r>
  <r>
    <s v="1bdef514-bbf6-434c-a922-be80a803a95e"/>
    <s v="Kathryn Levy"/>
    <d v="2024-02-10T00:00:00"/>
    <x v="0"/>
    <x v="2"/>
    <n v="4"/>
    <n v="143.93"/>
    <n v="575.72"/>
    <s v="completed "/>
    <s v="Feb"/>
    <n v="143.93"/>
  </r>
  <r>
    <s v="1cfbe6be-8d31-4dc9-a74e-201164657435"/>
    <s v="Debra Owen"/>
    <d v="2023-07-26T00:00:00"/>
    <x v="4"/>
    <x v="0"/>
    <m/>
    <n v="153.5"/>
    <m/>
    <s v="completed "/>
    <s v="Jul"/>
    <s v=""/>
  </r>
  <r>
    <s v="831643a9-8222-449d-8b69-09ec0f7b6f04"/>
    <s v="Kristin Woods"/>
    <d v="2023-10-08T00:00:00"/>
    <x v="1"/>
    <x v="0"/>
    <m/>
    <n v="42.29"/>
    <m/>
    <s v="in progress"/>
    <s v="Oct"/>
    <s v=""/>
  </r>
  <r>
    <s v="104aac2a-2c4d-45eb-ad36-20070adc975b"/>
    <s v="Suzanne Woodward"/>
    <d v="2023-06-07T00:00:00"/>
    <x v="4"/>
    <x v="4"/>
    <n v="5"/>
    <n v="28.52"/>
    <n v="142.6"/>
    <s v="In-Progress"/>
    <s v="Jun"/>
    <n v="28.52"/>
  </r>
  <r>
    <s v="454aee04-6371-4e0c-aaf7-5d68a589f283"/>
    <s v="Lawrence Lee"/>
    <d v="2024-08-26T00:00:00"/>
    <x v="0"/>
    <x v="3"/>
    <n v="8"/>
    <n v="65.53"/>
    <n v="524.24"/>
    <s v="Cancelled "/>
    <s v="Aug"/>
    <n v="65.53"/>
  </r>
  <r>
    <s v="d5a3d86a-f40a-4713-b6ad-b54c9414b2ba"/>
    <s v="Dr. Kathy Lee"/>
    <d v="2023-10-14T00:00:00"/>
    <x v="0"/>
    <x v="3"/>
    <n v="1"/>
    <n v="199.87"/>
    <n v="199.87"/>
    <s v="completed "/>
    <s v="Oct"/>
    <n v="199.87"/>
  </r>
  <r>
    <s v="d98c079e-e640-429d-903b-ba27b689c0d2"/>
    <s v="Hayden Valdez"/>
    <d v="2025-02-14T00:00:00"/>
    <x v="1"/>
    <x v="1"/>
    <n v="9"/>
    <n v="82.13"/>
    <n v="739.17"/>
    <s v="completed "/>
    <s v="Feb"/>
    <n v="82.13"/>
  </r>
  <r>
    <s v="5b30033a-69bf-491a-be47-2be038aa0016"/>
    <s v="Jeremiah Bond"/>
    <d v="2024-08-21T00:00:00"/>
    <x v="2"/>
    <x v="4"/>
    <m/>
    <n v="128.16"/>
    <m/>
    <s v="completed "/>
    <s v="Aug"/>
    <s v=""/>
  </r>
  <r>
    <s v="cd6efd04-9cac-4973-b67f-c8a65928b834"/>
    <s v="Adam Miller"/>
    <d v="2024-02-08T00:00:00"/>
    <x v="3"/>
    <x v="4"/>
    <n v="3"/>
    <n v="63.99"/>
    <n v="191.97"/>
    <s v="CANCELLED"/>
    <s v="Feb"/>
    <n v="63.99"/>
  </r>
  <r>
    <s v="a03b3365-71ef-43d9-b3a8-ea91ef9a872e"/>
    <s v="Amy Tucker"/>
    <d v="2024-10-06T00:00:00"/>
    <x v="0"/>
    <x v="0"/>
    <m/>
    <n v="97.7"/>
    <m/>
    <s v="Completed"/>
    <s v="Oct"/>
    <s v=""/>
  </r>
  <r>
    <s v="fa4022a6-94f6-458d-9959-2d32a986d546"/>
    <s v="Katie Harris"/>
    <d v="2024-06-24T00:00:00"/>
    <x v="0"/>
    <x v="3"/>
    <n v="9"/>
    <n v="49.56"/>
    <n v="446.04"/>
    <s v="Cancelled "/>
    <s v="Jun"/>
    <n v="49.56"/>
  </r>
  <r>
    <s v="710d39eb-647b-4600-978f-2dc9a8de9d9b"/>
    <s v="Anita White"/>
    <d v="2024-01-24T00:00:00"/>
    <x v="2"/>
    <x v="0"/>
    <m/>
    <n v="100.39"/>
    <m/>
    <s v="in progress"/>
    <s v="Jan"/>
    <s v=""/>
  </r>
  <r>
    <s v="83d947a7-7e5f-45e3-b0b3-31b81ca5cf74"/>
    <s v="Thomas Pham"/>
    <d v="2023-10-31T00:00:00"/>
    <x v="0"/>
    <x v="3"/>
    <m/>
    <n v="62.8"/>
    <m/>
    <s v="In-Progress"/>
    <s v="Oct"/>
    <s v=""/>
  </r>
  <r>
    <s v="fdf0446d-9642-4367-a058-e511a6b61c92"/>
    <s v="Bianca Murphy"/>
    <d v="2024-07-13T00:00:00"/>
    <x v="0"/>
    <x v="2"/>
    <m/>
    <n v="92.64"/>
    <m/>
    <s v="In-Progress"/>
    <s v="Jul"/>
    <s v=""/>
  </r>
  <r>
    <s v="3bb80b17-5bc9-4080-a0ed-61d33a670504"/>
    <s v="Hannah Clark"/>
    <d v="2025-03-10T00:00:00"/>
    <x v="4"/>
    <x v="4"/>
    <n v="5"/>
    <n v="137.22"/>
    <n v="686.1"/>
    <s v="CANCELLED"/>
    <s v="Mar"/>
    <n v="137.22"/>
  </r>
  <r>
    <s v="9904c1d1-0584-4798-8a28-67f255fdea56"/>
    <s v="Mallory Ortega"/>
    <d v="2023-12-26T00:00:00"/>
    <x v="0"/>
    <x v="1"/>
    <m/>
    <n v="113.43"/>
    <m/>
    <s v="completed "/>
    <s v="Dec"/>
    <s v=""/>
  </r>
  <r>
    <s v="d1ea4bfa-3f1e-45f4-938a-f96004f9820d"/>
    <s v="Robert Webster"/>
    <d v="2023-11-03T00:00:00"/>
    <x v="0"/>
    <x v="1"/>
    <n v="4"/>
    <n v="41.66"/>
    <n v="166.64"/>
    <s v="CANCELLED"/>
    <s v="Nov"/>
    <n v="41.66"/>
  </r>
  <r>
    <s v="5f8e836c-d8f6-495f-8f91-cf5cb9b69df4"/>
    <s v="Justin West"/>
    <d v="2024-06-13T00:00:00"/>
    <x v="1"/>
    <x v="2"/>
    <n v="6"/>
    <n v="34.18"/>
    <n v="205.08"/>
    <s v="In-Progress"/>
    <s v="Jun"/>
    <n v="34.18"/>
  </r>
  <r>
    <s v="987c6b20-f9af-4493-8393-8f42a46ace01"/>
    <s v="Robert Martinez"/>
    <d v="2023-11-15T00:00:00"/>
    <x v="2"/>
    <x v="4"/>
    <n v="7"/>
    <n v="14.75"/>
    <n v="103.25"/>
    <s v="Completed"/>
    <s v="Nov"/>
    <n v="14.75"/>
  </r>
  <r>
    <s v="4f45acfd-6ead-4291-aa88-97996abea528"/>
    <s v="Matthew Jones"/>
    <d v="2024-06-24T00:00:00"/>
    <x v="4"/>
    <x v="4"/>
    <m/>
    <n v="170.67"/>
    <m/>
    <s v="Cancelled "/>
    <s v="Jun"/>
    <s v=""/>
  </r>
  <r>
    <s v="c72556ec-0ad1-4f4f-9a91-349a2af7b6f7"/>
    <s v="Karen Luna"/>
    <d v="2024-03-25T00:00:00"/>
    <x v="3"/>
    <x v="3"/>
    <n v="1"/>
    <n v="164.76"/>
    <n v="164.76"/>
    <s v="In-Progress"/>
    <s v="Mar"/>
    <n v="164.76"/>
  </r>
  <r>
    <s v="3279359e-a524-4f74-a19c-ba8c245cdce7"/>
    <s v="Deborah Mccullough"/>
    <d v="2024-03-16T00:00:00"/>
    <x v="4"/>
    <x v="0"/>
    <n v="6"/>
    <n v="68.66"/>
    <n v="411.96"/>
    <s v="In-Progress"/>
    <s v="Mar"/>
    <n v="68.66"/>
  </r>
  <r>
    <s v="677d964b-597f-416e-89ea-a228e79fde6f"/>
    <s v="Jonathan Tanner"/>
    <d v="2024-05-07T00:00:00"/>
    <x v="2"/>
    <x v="2"/>
    <m/>
    <n v="156.03"/>
    <m/>
    <s v="Completed"/>
    <s v="May"/>
    <s v=""/>
  </r>
  <r>
    <s v="169d4d0c-701b-42db-92e9-5a080a14f5e6"/>
    <s v="Sheila Spencer"/>
    <d v="2025-02-10T00:00:00"/>
    <x v="4"/>
    <x v="1"/>
    <n v="3"/>
    <n v="98.93"/>
    <n v="296.79000000000002"/>
    <s v="Completed"/>
    <s v="Feb"/>
    <n v="98.93"/>
  </r>
  <r>
    <s v="ee509e81-b5ea-4bb2-a998-039c1f272653"/>
    <s v="James Jackson"/>
    <d v="2024-06-29T00:00:00"/>
    <x v="4"/>
    <x v="2"/>
    <n v="8"/>
    <n v="136.1"/>
    <n v="1088.8"/>
    <s v="Cancelled "/>
    <s v="Jun"/>
    <n v="136.1"/>
  </r>
  <r>
    <s v="76e317c6-89f8-44ef-b505-8be7897c0080"/>
    <s v="Amber Green"/>
    <d v="2024-03-24T00:00:00"/>
    <x v="0"/>
    <x v="1"/>
    <n v="5"/>
    <n v="168.65"/>
    <n v="843.25"/>
    <s v="In-Progress"/>
    <s v="Mar"/>
    <n v="168.65"/>
  </r>
  <r>
    <s v="5856fd29-c3c8-4552-8a21-6570476e2d37"/>
    <s v="William Wood"/>
    <d v="2023-08-23T00:00:00"/>
    <x v="4"/>
    <x v="0"/>
    <n v="9"/>
    <n v="107.24"/>
    <n v="965.16"/>
    <s v="In-Progress"/>
    <s v="Aug"/>
    <n v="107.24"/>
  </r>
  <r>
    <s v="fda08aea-4192-406b-83c2-1c3813ce48bf"/>
    <s v="Lauren White"/>
    <d v="2024-11-14T00:00:00"/>
    <x v="0"/>
    <x v="2"/>
    <m/>
    <n v="192.39"/>
    <m/>
    <s v="CANCELLED"/>
    <s v="Nov"/>
    <s v=""/>
  </r>
  <r>
    <s v="53187a3b-10ad-4c30-bae0-6f300e345db7"/>
    <s v="Daniel Oconnor"/>
    <d v="2023-11-09T00:00:00"/>
    <x v="1"/>
    <x v="4"/>
    <n v="9"/>
    <n v="109.56"/>
    <n v="986.04"/>
    <s v="CANCELLED"/>
    <s v="Nov"/>
    <n v="109.56"/>
  </r>
  <r>
    <s v="e0671519-df62-4212-a81c-3313ac3afe3f"/>
    <s v="Kim Marshall"/>
    <d v="2024-02-13T00:00:00"/>
    <x v="4"/>
    <x v="4"/>
    <n v="4"/>
    <n v="27.15"/>
    <n v="108.6"/>
    <s v="CANCELLED"/>
    <s v="Feb"/>
    <n v="27.15"/>
  </r>
  <r>
    <s v="809082fa-6b7d-435a-882b-470d44dd92f6"/>
    <s v="Angela Robinson"/>
    <d v="2024-12-23T00:00:00"/>
    <x v="2"/>
    <x v="2"/>
    <m/>
    <n v="163.63999999999999"/>
    <m/>
    <s v="Cancelled "/>
    <s v="Dec"/>
    <s v=""/>
  </r>
  <r>
    <s v="43a56c1a-91cf-40a1-a4d5-52fcd10f583f"/>
    <s v="Autumn Anthony"/>
    <d v="2024-01-11T00:00:00"/>
    <x v="3"/>
    <x v="2"/>
    <m/>
    <n v="72.11"/>
    <m/>
    <s v="completed "/>
    <s v="Jan"/>
    <s v=""/>
  </r>
  <r>
    <s v="39bcfa3f-1a4e-4bd1-88d3-700e3c223655"/>
    <s v="Luis Fleming"/>
    <d v="2025-04-29T00:00:00"/>
    <x v="3"/>
    <x v="0"/>
    <n v="9"/>
    <n v="50.13"/>
    <n v="451.17"/>
    <s v="in progress"/>
    <s v="Apr"/>
    <n v="50.13"/>
  </r>
  <r>
    <s v="84126fb0-39fc-46d7-85c9-d8e87dab17a8"/>
    <s v="Elizabeth Johnson"/>
    <d v="2023-07-24T00:00:00"/>
    <x v="3"/>
    <x v="0"/>
    <m/>
    <n v="133.96"/>
    <m/>
    <s v="In-Progress"/>
    <s v="Jul"/>
    <s v=""/>
  </r>
  <r>
    <s v="c0aa0a36-af27-4b85-8806-7f7e24ab91dc"/>
    <s v="Melanie Nguyen"/>
    <d v="2024-12-02T00:00:00"/>
    <x v="2"/>
    <x v="4"/>
    <n v="4"/>
    <n v="87.23"/>
    <n v="348.92"/>
    <s v="In-Progress"/>
    <s v="Dec"/>
    <n v="87.23"/>
  </r>
  <r>
    <s v="d40f0d4b-8b57-4a15-976b-ae07581091eb"/>
    <s v="Willie Johnson"/>
    <d v="2024-09-06T00:00:00"/>
    <x v="2"/>
    <x v="2"/>
    <m/>
    <n v="161"/>
    <m/>
    <s v="Cancelled "/>
    <s v="Sep"/>
    <s v=""/>
  </r>
  <r>
    <s v="7ca6a298-a3a0-4d94-8c83-0040c60e3b12"/>
    <s v="Donald Smith"/>
    <d v="2024-09-20T00:00:00"/>
    <x v="2"/>
    <x v="2"/>
    <n v="6"/>
    <n v="41.88"/>
    <n v="251.28"/>
    <s v="CANCELLED"/>
    <s v="Sep"/>
    <n v="41.88"/>
  </r>
  <r>
    <s v="b6c364e2-bc28-4c6f-8632-a952a8d2d2a9"/>
    <s v="Angela Reese"/>
    <d v="2023-12-05T00:00:00"/>
    <x v="4"/>
    <x v="1"/>
    <n v="2"/>
    <n v="136.41"/>
    <n v="272.82"/>
    <s v="Completed"/>
    <s v="Dec"/>
    <n v="136.41"/>
  </r>
  <r>
    <s v="e835c9ff-cde3-431c-92f9-df0ed2486496"/>
    <s v="Jessica Little"/>
    <d v="2024-01-10T00:00:00"/>
    <x v="2"/>
    <x v="1"/>
    <m/>
    <n v="109.92"/>
    <m/>
    <s v="Cancelled "/>
    <s v="Jan"/>
    <s v=""/>
  </r>
  <r>
    <s v="bd625b5f-ffc3-4b67-b542-0039c355fceb"/>
    <s v="Alexander Meyers"/>
    <d v="2023-08-02T00:00:00"/>
    <x v="4"/>
    <x v="3"/>
    <m/>
    <n v="92.63"/>
    <m/>
    <s v="Completed"/>
    <s v="Aug"/>
    <s v=""/>
  </r>
  <r>
    <s v="32095874-7cd6-4453-8558-87db2254b423"/>
    <s v="Brandon Morris"/>
    <d v="2024-09-27T00:00:00"/>
    <x v="1"/>
    <x v="0"/>
    <n v="2"/>
    <n v="139.09"/>
    <n v="278.18"/>
    <s v="Cancelled "/>
    <s v="Sep"/>
    <n v="139.09"/>
  </r>
  <r>
    <s v="a6d05074-a8f9-45ba-affb-040879b37415"/>
    <s v="Charles Anderson"/>
    <d v="2024-05-02T00:00:00"/>
    <x v="3"/>
    <x v="2"/>
    <n v="1"/>
    <n v="84.1"/>
    <n v="84.1"/>
    <s v="completed "/>
    <s v="May"/>
    <n v="84.1"/>
  </r>
  <r>
    <s v="57bdde2d-4ca3-4ce1-85cc-bd5acb0b8a4f"/>
    <s v="Alexander Savage"/>
    <d v="2024-06-11T00:00:00"/>
    <x v="1"/>
    <x v="2"/>
    <m/>
    <n v="106.09"/>
    <m/>
    <s v="completed "/>
    <s v="Jun"/>
    <s v=""/>
  </r>
  <r>
    <s v="3c5f5ea9-ff06-418c-8665-bed46db50540"/>
    <s v="Ashley Allen"/>
    <d v="2024-10-15T00:00:00"/>
    <x v="0"/>
    <x v="2"/>
    <n v="6"/>
    <n v="42.2"/>
    <n v="253.2"/>
    <s v="In-Progress"/>
    <s v="Oct"/>
    <n v="42.199999999999996"/>
  </r>
  <r>
    <s v="043ccd14-307f-401e-bfde-b49dfc94f2ff"/>
    <s v="Lindsay Jennings"/>
    <d v="2024-11-06T00:00:00"/>
    <x v="3"/>
    <x v="2"/>
    <n v="8"/>
    <n v="112.25"/>
    <n v="898"/>
    <s v="completed "/>
    <s v="Nov"/>
    <n v="112.25"/>
  </r>
  <r>
    <s v="dca71653-5630-43f3-a88c-51e622f52222"/>
    <s v="Tina Cruz"/>
    <d v="2025-02-24T00:00:00"/>
    <x v="0"/>
    <x v="3"/>
    <n v="9"/>
    <n v="42.74"/>
    <n v="384.66"/>
    <s v="Cancelled "/>
    <s v="Feb"/>
    <n v="42.74"/>
  </r>
  <r>
    <s v="c2f52a3f-97d8-45de-9317-30543a5fab93"/>
    <s v="Cindy Nicholson"/>
    <d v="2025-03-17T00:00:00"/>
    <x v="2"/>
    <x v="0"/>
    <n v="7"/>
    <n v="92.23"/>
    <n v="645.61"/>
    <s v="Completed"/>
    <s v="Mar"/>
    <n v="92.23"/>
  </r>
  <r>
    <s v="1a5c98f9-6825-4f00-9dc9-dff6311706b5"/>
    <s v="William Huffman"/>
    <d v="2024-09-24T00:00:00"/>
    <x v="4"/>
    <x v="4"/>
    <n v="4"/>
    <n v="57.14"/>
    <n v="228.56"/>
    <s v="CANCELLED"/>
    <s v="Sep"/>
    <n v="57.14"/>
  </r>
  <r>
    <s v="4d75791b-e6e2-4ad6-b1b6-deb0ceb444ff"/>
    <s v="Daniel Ortiz"/>
    <d v="2023-05-11T00:00:00"/>
    <x v="2"/>
    <x v="1"/>
    <n v="6"/>
    <n v="38.65"/>
    <n v="231.9"/>
    <s v="Cancelled "/>
    <s v="May"/>
    <n v="38.65"/>
  </r>
  <r>
    <s v="429a8bb1-97a5-4186-8ba7-dc43d9680599"/>
    <s v="Margaret James"/>
    <d v="2024-04-23T00:00:00"/>
    <x v="2"/>
    <x v="1"/>
    <n v="5"/>
    <n v="175.57"/>
    <n v="877.85"/>
    <s v="Completed"/>
    <s v="Apr"/>
    <n v="175.57"/>
  </r>
  <r>
    <s v="f4460955-86a8-45e2-89fe-3bad71feb27b"/>
    <s v="Matthew Costa"/>
    <d v="2023-11-12T00:00:00"/>
    <x v="0"/>
    <x v="1"/>
    <n v="8"/>
    <n v="59.01"/>
    <n v="472.08"/>
    <s v="in progress"/>
    <s v="Nov"/>
    <n v="59.01"/>
  </r>
  <r>
    <s v="fa89e1da-ec76-4f2f-91f9-c37fc30975a2"/>
    <s v="Brian Carroll"/>
    <d v="2023-07-02T00:00:00"/>
    <x v="0"/>
    <x v="0"/>
    <n v="1"/>
    <n v="154.11000000000001"/>
    <n v="154.11000000000001"/>
    <s v="in progress"/>
    <s v="Jul"/>
    <n v="154.11000000000001"/>
  </r>
  <r>
    <s v="46c95baa-5461-4a37-af60-538138e6c549"/>
    <s v="Elizabeth Jones"/>
    <d v="2024-12-31T00:00:00"/>
    <x v="1"/>
    <x v="3"/>
    <n v="1"/>
    <n v="163.15"/>
    <n v="163.15"/>
    <s v="In-Progress"/>
    <s v="Dec"/>
    <n v="163.15"/>
  </r>
  <r>
    <s v="b55f7d43-71bb-43fe-85e7-b4f2289e000f"/>
    <s v="Sarah York"/>
    <d v="2025-02-13T00:00:00"/>
    <x v="0"/>
    <x v="4"/>
    <m/>
    <n v="184.02"/>
    <m/>
    <s v="in progress"/>
    <s v="Feb"/>
    <s v=""/>
  </r>
  <r>
    <s v="e29bed4d-8dd4-4cd6-96ac-1d8f9c93f995"/>
    <s v="William Huynh"/>
    <d v="2023-05-29T00:00:00"/>
    <x v="3"/>
    <x v="2"/>
    <m/>
    <n v="179.97"/>
    <m/>
    <s v="CANCELLED"/>
    <s v="May"/>
    <s v=""/>
  </r>
  <r>
    <s v="ef8e9a74-5e37-4fc7-ae5e-91e38b029e46"/>
    <s v="Amber Yoder"/>
    <d v="2023-12-09T00:00:00"/>
    <x v="0"/>
    <x v="3"/>
    <m/>
    <n v="55.92"/>
    <m/>
    <s v="CANCELLED"/>
    <s v="Dec"/>
    <s v=""/>
  </r>
  <r>
    <s v="5596456c-ad3b-44e2-96c7-2293d006826e"/>
    <s v="Hannah Ward"/>
    <d v="2024-09-05T00:00:00"/>
    <x v="1"/>
    <x v="3"/>
    <m/>
    <n v="187.18"/>
    <m/>
    <s v="Completed"/>
    <s v="Sep"/>
    <s v=""/>
  </r>
  <r>
    <s v="68e1c062-a2ab-4e84-82fb-0c6a26225ad2"/>
    <s v="Adrian Diaz"/>
    <d v="2025-02-16T00:00:00"/>
    <x v="0"/>
    <x v="3"/>
    <n v="7"/>
    <n v="52.3"/>
    <n v="366.1"/>
    <s v="CANCELLED"/>
    <s v="Feb"/>
    <n v="52.300000000000004"/>
  </r>
  <r>
    <s v="b8aa7515-d7b3-4814-bb2b-e784eec9ecd6"/>
    <s v="Teresa Gillespie"/>
    <d v="2023-07-09T00:00:00"/>
    <x v="0"/>
    <x v="1"/>
    <n v="1"/>
    <n v="79.150000000000006"/>
    <n v="79.150000000000006"/>
    <s v="In-Progress"/>
    <s v="Jul"/>
    <n v="79.150000000000006"/>
  </r>
  <r>
    <s v="8fde89c3-be77-47f6-9363-ccd18af759ea"/>
    <s v="Connor Garrison"/>
    <d v="2023-06-09T00:00:00"/>
    <x v="0"/>
    <x v="2"/>
    <n v="4"/>
    <n v="125.63"/>
    <n v="502.52"/>
    <s v="In-Progress"/>
    <s v="Jun"/>
    <n v="125.63"/>
  </r>
  <r>
    <s v="431b9015-ca31-484a-ae5c-59685f14207e"/>
    <s v="Daniel Nixon"/>
    <d v="2024-04-30T00:00:00"/>
    <x v="1"/>
    <x v="3"/>
    <n v="9"/>
    <n v="24.19"/>
    <n v="217.71"/>
    <s v="completed "/>
    <s v="Apr"/>
    <n v="24.19"/>
  </r>
  <r>
    <s v="c6a48b9d-9482-4855-a050-3c42cf8fa68e"/>
    <s v="Eddie Cantrell"/>
    <d v="2024-08-16T00:00:00"/>
    <x v="1"/>
    <x v="3"/>
    <m/>
    <n v="118.72"/>
    <m/>
    <s v="Completed"/>
    <s v="Aug"/>
    <s v=""/>
  </r>
  <r>
    <s v="e61d75e4-9ffe-4dcf-a9ad-dcda951f904a"/>
    <s v="Thomas Gibson"/>
    <d v="2024-08-15T00:00:00"/>
    <x v="0"/>
    <x v="3"/>
    <m/>
    <n v="77.150000000000006"/>
    <m/>
    <s v="Completed"/>
    <s v="Aug"/>
    <s v=""/>
  </r>
  <r>
    <s v="60af0386-7005-476b-9f66-a3dca59bf49c"/>
    <s v="Lori Boyle"/>
    <d v="2023-11-13T00:00:00"/>
    <x v="3"/>
    <x v="2"/>
    <m/>
    <n v="182.75"/>
    <m/>
    <s v="Completed"/>
    <s v="Nov"/>
    <s v=""/>
  </r>
  <r>
    <s v="fcb725e7-42b5-4496-a13a-2a6ff2d797bf"/>
    <s v="Crystal Chang"/>
    <d v="2024-12-10T00:00:00"/>
    <x v="4"/>
    <x v="0"/>
    <n v="6"/>
    <n v="76.62"/>
    <n v="459.72"/>
    <s v="in progress"/>
    <s v="Dec"/>
    <n v="76.62"/>
  </r>
  <r>
    <s v="23722189-09b7-486f-b9ae-689f850f0cbd"/>
    <s v="Frank Flores"/>
    <d v="2024-12-29T00:00:00"/>
    <x v="0"/>
    <x v="1"/>
    <m/>
    <n v="63.27"/>
    <m/>
    <s v="completed "/>
    <s v="Dec"/>
    <s v=""/>
  </r>
  <r>
    <s v="0a20148b-94dc-439c-bb4b-da2fd1fee565"/>
    <s v="Craig Martinez"/>
    <d v="2024-11-21T00:00:00"/>
    <x v="4"/>
    <x v="4"/>
    <n v="1"/>
    <n v="58.6"/>
    <n v="58.6"/>
    <s v="in progress"/>
    <s v="Nov"/>
    <n v="58.6"/>
  </r>
  <r>
    <s v="1f110a91-036a-4cd5-8986-282513909559"/>
    <s v="Mr. Lucas Thompson"/>
    <d v="2023-05-09T00:00:00"/>
    <x v="3"/>
    <x v="1"/>
    <n v="7"/>
    <n v="50.51"/>
    <n v="353.57"/>
    <s v="completed "/>
    <s v="May"/>
    <n v="50.51"/>
  </r>
  <r>
    <s v="50cbc8e5-eddf-41a0-8ef2-454ed639b41f"/>
    <s v="Justin Jones"/>
    <d v="2024-05-12T00:00:00"/>
    <x v="0"/>
    <x v="3"/>
    <m/>
    <n v="63.12"/>
    <m/>
    <s v="CANCELLED"/>
    <s v="May"/>
    <s v=""/>
  </r>
  <r>
    <s v="e189a4c0-d01b-43aa-87a8-e4ce5600774b"/>
    <s v="Michelle Jones"/>
    <d v="2024-02-24T00:00:00"/>
    <x v="4"/>
    <x v="2"/>
    <m/>
    <n v="166.38"/>
    <m/>
    <s v="completed "/>
    <s v="Feb"/>
    <s v=""/>
  </r>
  <r>
    <s v="ee3d8c36-8ba8-40a9-8595-1a3e2e0b70a2"/>
    <s v="David Brewer"/>
    <d v="2025-04-11T00:00:00"/>
    <x v="1"/>
    <x v="4"/>
    <n v="3"/>
    <n v="163.03"/>
    <n v="489.09"/>
    <s v="completed "/>
    <s v="Apr"/>
    <n v="163.03"/>
  </r>
  <r>
    <s v="9b09151e-00c8-437d-a4d1-852c8a396dc1"/>
    <s v="Laura Webb"/>
    <d v="2024-01-27T00:00:00"/>
    <x v="0"/>
    <x v="1"/>
    <m/>
    <n v="126.37"/>
    <m/>
    <s v="Cancelled "/>
    <s v="Jan"/>
    <s v=""/>
  </r>
  <r>
    <s v="22011900-98e9-430b-a7a1-54e4dcc063c8"/>
    <s v="Mrs. Lisa Cortez MD"/>
    <d v="2024-02-17T00:00:00"/>
    <x v="4"/>
    <x v="2"/>
    <n v="3"/>
    <n v="42.81"/>
    <n v="128.43"/>
    <s v="Cancelled "/>
    <s v="Feb"/>
    <n v="42.81"/>
  </r>
  <r>
    <s v="1927b4fd-02d2-47f8-9d68-c8910ebd57b8"/>
    <s v="Matthew Byrd"/>
    <d v="2023-07-28T00:00:00"/>
    <x v="0"/>
    <x v="0"/>
    <n v="1"/>
    <n v="55.96"/>
    <n v="55.96"/>
    <s v="in progress"/>
    <s v="Jul"/>
    <n v="55.96"/>
  </r>
  <r>
    <s v="c06dc03b-1e20-47a4-91e5-f9fcfcdfd53f"/>
    <s v="Victor Shah"/>
    <d v="2024-12-08T00:00:00"/>
    <x v="3"/>
    <x v="2"/>
    <m/>
    <n v="167.35"/>
    <m/>
    <s v="CANCELLED"/>
    <s v="Dec"/>
    <s v=""/>
  </r>
  <r>
    <s v="e089a96b-b8be-4376-b347-b0f623aa550a"/>
    <s v="Brent Ball"/>
    <d v="2025-01-21T00:00:00"/>
    <x v="1"/>
    <x v="4"/>
    <m/>
    <n v="32.619999999999997"/>
    <m/>
    <s v="In-Progress"/>
    <s v="Jan"/>
    <s v=""/>
  </r>
  <r>
    <s v="cb6f0165-3b8b-4b67-a241-980d2e5c221c"/>
    <s v="Erin Thompson"/>
    <d v="2023-12-04T00:00:00"/>
    <x v="0"/>
    <x v="1"/>
    <n v="2"/>
    <n v="43.06"/>
    <n v="86.12"/>
    <s v="Cancelled "/>
    <s v="Dec"/>
    <n v="43.06"/>
  </r>
  <r>
    <s v="ea4b69be-96f0-4239-b97f-a88132c0e985"/>
    <s v="David Potter"/>
    <d v="2023-12-12T00:00:00"/>
    <x v="1"/>
    <x v="0"/>
    <n v="1"/>
    <n v="148.41"/>
    <n v="148.41"/>
    <s v="In-Progress"/>
    <s v="Dec"/>
    <n v="148.41"/>
  </r>
  <r>
    <s v="6884b81d-fd33-4e3b-96f9-3b5fa6c6286e"/>
    <s v="Shane Ramirez"/>
    <d v="2024-06-29T00:00:00"/>
    <x v="0"/>
    <x v="1"/>
    <n v="3"/>
    <n v="191.45"/>
    <n v="574.35"/>
    <s v="CANCELLED"/>
    <s v="Jun"/>
    <n v="191.45000000000002"/>
  </r>
  <r>
    <s v="77ab4208-f188-4c16-9803-f3df32545dcb"/>
    <s v="Richard Martin"/>
    <d v="2024-07-18T00:00:00"/>
    <x v="0"/>
    <x v="0"/>
    <n v="2"/>
    <n v="199.83"/>
    <n v="399.66"/>
    <s v="In-Progress"/>
    <s v="Jul"/>
    <n v="199.83"/>
  </r>
  <r>
    <s v="2b2005fe-0924-4a95-8d1c-038420d17295"/>
    <s v="Donna Roberts"/>
    <d v="2023-07-03T00:00:00"/>
    <x v="4"/>
    <x v="0"/>
    <n v="2"/>
    <n v="115.95"/>
    <n v="231.9"/>
    <s v="In-Progress"/>
    <s v="Jul"/>
    <n v="115.95"/>
  </r>
  <r>
    <s v="03408fec-acf8-40a2-bce9-be7e1c1b7d14"/>
    <s v="Denise Harris"/>
    <d v="2024-10-19T00:00:00"/>
    <x v="0"/>
    <x v="0"/>
    <n v="6"/>
    <n v="23.76"/>
    <n v="142.56"/>
    <s v="In-Progress"/>
    <s v="Oct"/>
    <n v="23.76"/>
  </r>
  <r>
    <s v="b7c92f08-c29d-40a9-8947-20a7eb6a2316"/>
    <s v="Lisa Cox"/>
    <d v="2023-09-28T00:00:00"/>
    <x v="0"/>
    <x v="3"/>
    <n v="1"/>
    <n v="60.14"/>
    <n v="60.14"/>
    <s v="Completed"/>
    <s v="Sep"/>
    <n v="60.14"/>
  </r>
  <r>
    <s v="5e995cd5-6518-4888-86f0-91148af5b9e0"/>
    <s v="Sandra Stephenson"/>
    <d v="2024-11-22T00:00:00"/>
    <x v="4"/>
    <x v="1"/>
    <m/>
    <n v="193.03"/>
    <m/>
    <s v="CANCELLED"/>
    <s v="Nov"/>
    <s v=""/>
  </r>
  <r>
    <s v="1f82614c-9863-4de1-8d92-6ce4f5be499e"/>
    <s v="Hannah Chen"/>
    <d v="2023-07-29T00:00:00"/>
    <x v="0"/>
    <x v="1"/>
    <m/>
    <n v="110.6"/>
    <m/>
    <s v="in progress"/>
    <s v="Jul"/>
    <s v=""/>
  </r>
  <r>
    <s v="a9995a9e-79fb-4c20-999e-b3a53608490d"/>
    <s v="Jessica Fields"/>
    <d v="2025-03-25T00:00:00"/>
    <x v="0"/>
    <x v="2"/>
    <m/>
    <n v="40.58"/>
    <m/>
    <s v="completed "/>
    <s v="Mar"/>
    <s v=""/>
  </r>
  <r>
    <s v="7130af7c-72fc-405b-aab7-0aae59c17d2e"/>
    <s v="Paul Morgan"/>
    <d v="2025-03-06T00:00:00"/>
    <x v="0"/>
    <x v="0"/>
    <n v="4"/>
    <n v="47.77"/>
    <n v="191.08"/>
    <s v="in progress"/>
    <s v="Mar"/>
    <n v="47.77"/>
  </r>
  <r>
    <s v="a32f01e4-34bf-42c9-b04a-d95b0890b004"/>
    <s v="Justin Garcia"/>
    <d v="2024-05-23T00:00:00"/>
    <x v="4"/>
    <x v="0"/>
    <n v="1"/>
    <n v="137"/>
    <n v="137"/>
    <s v="in progress"/>
    <s v="May"/>
    <n v="137"/>
  </r>
  <r>
    <s v="11ab5620-09ba-4dc0-acc5-a6c0822829a6"/>
    <s v="Alyssa Richards"/>
    <d v="2024-08-11T00:00:00"/>
    <x v="1"/>
    <x v="2"/>
    <n v="8"/>
    <n v="43.32"/>
    <n v="346.56"/>
    <s v="CANCELLED"/>
    <s v="Aug"/>
    <n v="43.32"/>
  </r>
  <r>
    <s v="f1fe5d74-fa11-4b8c-a026-6e8eba4ae3a0"/>
    <s v="Craig Ali"/>
    <d v="2024-11-26T00:00:00"/>
    <x v="3"/>
    <x v="0"/>
    <n v="7"/>
    <n v="174.83"/>
    <n v="1223.81"/>
    <s v="CANCELLED"/>
    <s v="Nov"/>
    <n v="174.82999999999998"/>
  </r>
  <r>
    <s v="af95d911-93a0-42fa-9cea-f70855944566"/>
    <s v="Bryan Moore"/>
    <d v="2023-09-25T00:00:00"/>
    <x v="3"/>
    <x v="0"/>
    <m/>
    <n v="73.040000000000006"/>
    <m/>
    <s v="completed "/>
    <s v="Sep"/>
    <s v=""/>
  </r>
  <r>
    <s v="cc599a24-3fbc-468a-9fdd-41054f4b6ca3"/>
    <s v="William Turner"/>
    <d v="2025-04-12T00:00:00"/>
    <x v="1"/>
    <x v="3"/>
    <n v="3"/>
    <n v="121.74"/>
    <n v="365.22"/>
    <s v="in progress"/>
    <s v="Apr"/>
    <n v="121.74000000000001"/>
  </r>
  <r>
    <s v="41ea8d77-ac45-4ddb-ab70-89880c0f919c"/>
    <s v="Teresa Thompson"/>
    <d v="2024-09-17T00:00:00"/>
    <x v="2"/>
    <x v="0"/>
    <m/>
    <n v="90.09"/>
    <m/>
    <s v="in progress"/>
    <s v="Sep"/>
    <s v=""/>
  </r>
  <r>
    <s v="d2fd5128-f1b6-4327-a51a-2615fa7c8318"/>
    <s v="Brandon Ingram"/>
    <d v="2023-11-30T00:00:00"/>
    <x v="3"/>
    <x v="0"/>
    <n v="2"/>
    <n v="121.51"/>
    <n v="243.02"/>
    <s v="Completed"/>
    <s v="Nov"/>
    <n v="121.51"/>
  </r>
  <r>
    <s v="8668cfae-da01-453c-a260-a61e45657587"/>
    <s v="Richard Dean"/>
    <d v="2024-11-13T00:00:00"/>
    <x v="0"/>
    <x v="1"/>
    <n v="1"/>
    <n v="50.41"/>
    <n v="50.41"/>
    <s v="Cancelled "/>
    <s v="Nov"/>
    <n v="50.41"/>
  </r>
  <r>
    <s v="8f830299-6632-464b-940c-2d879f62173c"/>
    <s v="Charles Hill"/>
    <d v="2024-09-25T00:00:00"/>
    <x v="2"/>
    <x v="3"/>
    <m/>
    <n v="174.21"/>
    <m/>
    <s v="in progress"/>
    <s v="Sep"/>
    <s v=""/>
  </r>
  <r>
    <s v="775c045b-084f-4883-9ece-0562323a223c"/>
    <s v="Michelle Logan"/>
    <d v="2023-06-16T00:00:00"/>
    <x v="3"/>
    <x v="2"/>
    <n v="7"/>
    <n v="189.85"/>
    <n v="1328.95"/>
    <s v="completed "/>
    <s v="Jun"/>
    <n v="189.85"/>
  </r>
  <r>
    <s v="58883641-44c5-463a-a211-9b2e516cffd5"/>
    <s v="Molly Crosby"/>
    <d v="2023-10-04T00:00:00"/>
    <x v="1"/>
    <x v="3"/>
    <n v="2"/>
    <n v="47.51"/>
    <n v="95.02"/>
    <s v="in progress"/>
    <s v="Oct"/>
    <n v="47.51"/>
  </r>
  <r>
    <s v="844a4fe7-a2af-44af-a4ea-6c301180e84b"/>
    <s v="Wendy Green"/>
    <d v="2024-07-20T00:00:00"/>
    <x v="3"/>
    <x v="1"/>
    <m/>
    <n v="43.47"/>
    <m/>
    <s v="completed "/>
    <s v="Jul"/>
    <s v=""/>
  </r>
  <r>
    <s v="7c223ab0-f184-4916-9b97-4a7cb6a0362a"/>
    <s v="Sean English"/>
    <d v="2023-07-21T00:00:00"/>
    <x v="4"/>
    <x v="3"/>
    <n v="8"/>
    <n v="140.26"/>
    <n v="1122.08"/>
    <s v="in progress"/>
    <s v="Jul"/>
    <n v="140.26"/>
  </r>
  <r>
    <s v="7eccf59d-48f9-4184-92f6-88ae020b8f72"/>
    <s v="Stephanie Jones"/>
    <d v="2025-03-18T00:00:00"/>
    <x v="3"/>
    <x v="2"/>
    <n v="1"/>
    <n v="126.51"/>
    <n v="126.51"/>
    <s v="Completed"/>
    <s v="Mar"/>
    <n v="126.51"/>
  </r>
  <r>
    <s v="80021cd9-381c-4ba9-b556-bbf8d780d8c2"/>
    <s v="Ashley Lee"/>
    <d v="2025-03-25T00:00:00"/>
    <x v="4"/>
    <x v="2"/>
    <m/>
    <n v="178.23"/>
    <m/>
    <s v="CANCELLED"/>
    <s v="Mar"/>
    <s v=""/>
  </r>
  <r>
    <s v="6b5fba63-2500-4622-920c-90e980d85ff6"/>
    <s v="Jane Cochran"/>
    <d v="2024-08-17T00:00:00"/>
    <x v="3"/>
    <x v="4"/>
    <m/>
    <n v="175.2"/>
    <m/>
    <s v="In-Progress"/>
    <s v="Aug"/>
    <s v=""/>
  </r>
  <r>
    <s v="d8fbc24a-5121-4f62-867d-09f5ccacc67a"/>
    <s v="Michelle Jones"/>
    <d v="2024-07-14T00:00:00"/>
    <x v="2"/>
    <x v="0"/>
    <m/>
    <n v="93.83"/>
    <m/>
    <s v="in progress"/>
    <s v="Jul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FA961-0DD3-4245-A21A-E08AE95943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Type" colHeaderCaption="Region">
  <location ref="S30:Y37" firstHeaderRow="1" firstDataRow="2" firstDataCol="1"/>
  <pivotFields count="11">
    <pivotField showAll="0"/>
    <pivotField showAll="0"/>
    <pivotField numFmtId="14" showAll="0"/>
    <pivotField axis="axisCol" showAll="0">
      <items count="6">
        <item x="1"/>
        <item x="0"/>
        <item x="4"/>
        <item x="2"/>
        <item x="3"/>
        <item t="default"/>
      </items>
    </pivotField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 Price" fld="6" baseField="0" baseItem="0" numFmtId="44"/>
  </dataFields>
  <formats count="22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3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Col="1" outline="0" fieldPosition="0"/>
    </format>
    <format dxfId="17">
      <pivotArea type="origin" dataOnly="0" labelOnly="1" outline="0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403EA-ED5F-440D-93CA-8690291A0C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Type">
  <location ref="S20:T26" firstHeaderRow="1" firstDataRow="1" firstDataCol="1"/>
  <pivotFields count="11">
    <pivotField showAll="0"/>
    <pivotField showAll="0"/>
    <pivotField numFmtId="14" showAll="0"/>
    <pivotField showAll="0">
      <items count="6">
        <item x="1"/>
        <item x="0"/>
        <item x="4"/>
        <item x="2"/>
        <item x="3"/>
        <item t="default"/>
      </items>
    </pivotField>
    <pivotField axis="axisRow" showAll="0">
      <items count="6">
        <item x="0"/>
        <item x="1"/>
        <item x="4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ADCD3-3230-4D74-BD44-B48579D904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T8:U14" firstHeaderRow="1" firstDataRow="1" firstDataCol="1"/>
  <pivotFields count="11">
    <pivotField showAll="0"/>
    <pivotField showAll="0"/>
    <pivotField numFmtId="14"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 numFmtId="44"/>
  </dataFields>
  <formats count="13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3" type="button" dataOnly="0" labelOnly="1" outline="0" axis="axisRow" fieldPosition="0"/>
    </format>
    <format dxfId="59">
      <pivotArea dataOnly="0" labelOnly="1" fieldPosition="0">
        <references count="1">
          <reference field="3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F31CCC-2EE2-48CA-98BC-309BBF737C1A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Customer Name" tableColumnId="2"/>
      <queryTableField id="3" name="Order Date" tableColumnId="3"/>
      <queryTableField id="4" name="Region" tableColumnId="4"/>
      <queryTableField id="5" name="Product" tableColumnId="5"/>
      <queryTableField id="6" name="Quantity" tableColumnId="6"/>
      <queryTableField id="7" name="Unit Price" tableColumnId="7"/>
      <queryTableField id="8" name="Revenue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D15276-C22E-4BEF-9884-1BFC33B7C8A0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OrderID" tableColumnId="1"/>
      <queryTableField id="2" name="Customer Name" tableColumnId="2"/>
      <queryTableField id="3" name="Order Date" tableColumnId="3"/>
      <queryTableField id="4" name="Region" tableColumnId="4"/>
      <queryTableField id="5" name="Product" tableColumnId="5"/>
      <queryTableField id="6" name="Quantity" tableColumnId="6"/>
      <queryTableField id="7" name="Unit Price" tableColumnId="7"/>
      <queryTableField id="8" name="Revenue" tableColumnId="8"/>
      <queryTableField id="9" name="Status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55429-C8F6-4533-9086-C326903FF66F}" name="Lab2_Dataset__2" displayName="Lab2_Dataset__2" ref="A1:I1001" tableType="queryTable" totalsRowShown="0">
  <autoFilter ref="A1:I1001" xr:uid="{D2055429-C8F6-4533-9086-C326903FF66F}"/>
  <tableColumns count="9">
    <tableColumn id="1" xr3:uid="{B0DA3B4A-911A-4FFC-8302-D326282DB6C8}" uniqueName="1" name="OrderID" queryTableFieldId="1" dataDxfId="68"/>
    <tableColumn id="2" xr3:uid="{EFB1123A-6192-4EA6-849D-8000A84E9977}" uniqueName="2" name="Customer Name" queryTableFieldId="2" dataDxfId="67"/>
    <tableColumn id="3" xr3:uid="{3006518D-73C9-4AD9-9E11-391BE7F84B85}" uniqueName="3" name="Order Date" queryTableFieldId="3" dataDxfId="66"/>
    <tableColumn id="4" xr3:uid="{0126BBEA-E60E-4A89-ACC6-4555CCB14A73}" uniqueName="4" name="Region" queryTableFieldId="4" dataDxfId="65"/>
    <tableColumn id="5" xr3:uid="{E4678697-E184-4381-B24B-2DF49A5A5108}" uniqueName="5" name="Product" queryTableFieldId="5" dataDxfId="64"/>
    <tableColumn id="6" xr3:uid="{6A13FC75-8305-4428-8FF3-1297AD7415AC}" uniqueName="6" name="Quantity" queryTableFieldId="6"/>
    <tableColumn id="7" xr3:uid="{BAB70C68-CB44-44C1-8B1D-D6B8FDEC762D}" uniqueName="7" name="Unit Price" queryTableFieldId="7"/>
    <tableColumn id="8" xr3:uid="{F9F27A41-F00F-44C0-8A7A-811621581A73}" uniqueName="8" name="Revenue" queryTableFieldId="8"/>
    <tableColumn id="9" xr3:uid="{B05F5959-EBFE-4200-96C1-1C79987E3365}" uniqueName="9" name="Status" queryTableFieldId="9" dataDxfId="6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FF424-AF0E-43B4-8BA1-E5BEEF8E638E}" name="Lab2_Dataset" displayName="Lab2_Dataset" ref="A1:J1001" tableType="queryTable" totalsRowShown="0" headerRowDxfId="15" dataDxfId="14">
  <autoFilter ref="A1:J1001" xr:uid="{792FF424-AF0E-43B4-8BA1-E5BEEF8E638E}"/>
  <tableColumns count="10">
    <tableColumn id="1" xr3:uid="{15636B12-A98E-4054-8E04-902C1244755F}" uniqueName="1" name="OrderID" queryTableFieldId="1" dataDxfId="13"/>
    <tableColumn id="2" xr3:uid="{21EED3D1-DDD4-4962-917F-9E74B29BF3C2}" uniqueName="2" name="Customer Name" queryTableFieldId="2" dataDxfId="12"/>
    <tableColumn id="3" xr3:uid="{8015B55C-CED4-4F60-9EB7-69C9ED73AC34}" uniqueName="3" name="Order Date" queryTableFieldId="3" dataDxfId="11"/>
    <tableColumn id="4" xr3:uid="{76436FEC-8837-42CA-AFAB-6A9FC8CD26E2}" uniqueName="4" name="Region" queryTableFieldId="4" dataDxfId="10"/>
    <tableColumn id="5" xr3:uid="{A06CF414-7705-4A6A-B95E-4A70AB11BD09}" uniqueName="5" name="Product" queryTableFieldId="5" dataDxfId="9"/>
    <tableColumn id="6" xr3:uid="{616F6B6E-23F6-494A-AE39-B1E0C1B05D25}" uniqueName="6" name="Quantity" queryTableFieldId="6" dataDxfId="8"/>
    <tableColumn id="7" xr3:uid="{118CFA02-5372-4571-B88C-B20AB45B40A9}" uniqueName="7" name="Unit Price" queryTableFieldId="7" dataDxfId="7"/>
    <tableColumn id="8" xr3:uid="{2C2F3238-3AF7-4E0F-8A02-105555DA8B31}" uniqueName="8" name="Revenue" queryTableFieldId="8" dataDxfId="6"/>
    <tableColumn id="9" xr3:uid="{8105A017-CFB1-46A0-8C8D-4F1E0E082BB5}" uniqueName="9" name="Status" queryTableFieldId="9" dataDxfId="5"/>
    <tableColumn id="10" xr3:uid="{2BDFEE9A-2B2B-4F83-B367-DB9C181AD01C}" uniqueName="10" name="Order Month " queryTableFieldId="10" dataDxfId="4">
      <calculatedColumnFormula>TEXT(C2,"mmm")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A87FD-A5DC-49B6-AD37-48C303D18A31}" name="Table3" displayName="Table3" ref="K1:K1048576" totalsRowShown="0" headerRowDxfId="3" dataDxfId="2">
  <autoFilter ref="K1:K1048576" xr:uid="{2FFA87FD-A5DC-49B6-AD37-48C303D18A31}"/>
  <tableColumns count="1">
    <tableColumn id="1" xr3:uid="{9AD666C8-E9CA-4EE1-B817-09CC1983B7DB}" name="Revenue per unit 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FE92-B81F-4E26-9F86-2E2D35A9E4E9}">
  <dimension ref="A1:I1001"/>
  <sheetViews>
    <sheetView workbookViewId="0">
      <selection activeCell="K2" sqref="K2"/>
    </sheetView>
  </sheetViews>
  <sheetFormatPr defaultRowHeight="14.5" x14ac:dyDescent="0.35"/>
  <cols>
    <col min="1" max="1" width="35.90625" bestFit="1" customWidth="1"/>
    <col min="2" max="2" width="22" bestFit="1" customWidth="1"/>
    <col min="3" max="3" width="12" bestFit="1" customWidth="1"/>
    <col min="4" max="4" width="8.81640625" bestFit="1" customWidth="1"/>
    <col min="5" max="5" width="9.6328125" bestFit="1" customWidth="1"/>
    <col min="6" max="6" width="10.26953125" bestFit="1" customWidth="1"/>
    <col min="7" max="7" width="11.26953125" bestFit="1" customWidth="1"/>
    <col min="8" max="8" width="10.36328125" bestFit="1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>
        <v>45386</v>
      </c>
      <c r="D2" t="s">
        <v>11</v>
      </c>
      <c r="E2" t="s">
        <v>12</v>
      </c>
      <c r="G2">
        <v>144.32</v>
      </c>
      <c r="I2" t="s">
        <v>13</v>
      </c>
    </row>
    <row r="3" spans="1:9" x14ac:dyDescent="0.35">
      <c r="A3" t="s">
        <v>14</v>
      </c>
      <c r="B3" t="s">
        <v>15</v>
      </c>
      <c r="C3" s="1">
        <v>45751</v>
      </c>
      <c r="D3" t="s">
        <v>11</v>
      </c>
      <c r="E3" t="s">
        <v>16</v>
      </c>
      <c r="F3">
        <v>4</v>
      </c>
      <c r="G3">
        <v>101.13</v>
      </c>
      <c r="H3">
        <v>404.52</v>
      </c>
      <c r="I3" t="s">
        <v>17</v>
      </c>
    </row>
    <row r="4" spans="1:9" x14ac:dyDescent="0.35">
      <c r="A4" t="s">
        <v>18</v>
      </c>
      <c r="B4" t="s">
        <v>19</v>
      </c>
      <c r="C4" s="1">
        <v>45640</v>
      </c>
      <c r="D4" t="s">
        <v>20</v>
      </c>
      <c r="E4" t="s">
        <v>16</v>
      </c>
      <c r="G4">
        <v>95.12</v>
      </c>
      <c r="I4" t="s">
        <v>21</v>
      </c>
    </row>
    <row r="5" spans="1:9" x14ac:dyDescent="0.35">
      <c r="A5" t="s">
        <v>22</v>
      </c>
      <c r="B5" t="s">
        <v>23</v>
      </c>
      <c r="C5" s="1">
        <v>45388</v>
      </c>
      <c r="D5" t="s">
        <v>20</v>
      </c>
      <c r="E5" t="s">
        <v>24</v>
      </c>
      <c r="G5">
        <v>46.21</v>
      </c>
      <c r="I5" t="s">
        <v>13</v>
      </c>
    </row>
    <row r="6" spans="1:9" x14ac:dyDescent="0.35">
      <c r="A6" t="s">
        <v>25</v>
      </c>
      <c r="B6" t="s">
        <v>26</v>
      </c>
      <c r="C6" s="1">
        <v>45392</v>
      </c>
      <c r="D6" t="s">
        <v>27</v>
      </c>
      <c r="E6" t="s">
        <v>28</v>
      </c>
      <c r="F6">
        <v>7</v>
      </c>
      <c r="G6">
        <v>47.8</v>
      </c>
      <c r="H6">
        <v>334.6</v>
      </c>
      <c r="I6" t="s">
        <v>17</v>
      </c>
    </row>
    <row r="7" spans="1:9" x14ac:dyDescent="0.35">
      <c r="A7" t="s">
        <v>29</v>
      </c>
      <c r="B7" t="s">
        <v>30</v>
      </c>
      <c r="C7" s="1">
        <v>45681</v>
      </c>
      <c r="D7" t="s">
        <v>11</v>
      </c>
      <c r="E7" t="s">
        <v>24</v>
      </c>
      <c r="G7">
        <v>100.84</v>
      </c>
      <c r="I7" t="s">
        <v>31</v>
      </c>
    </row>
    <row r="8" spans="1:9" x14ac:dyDescent="0.35">
      <c r="A8" t="s">
        <v>32</v>
      </c>
      <c r="B8" t="s">
        <v>33</v>
      </c>
      <c r="C8" s="1">
        <v>45050</v>
      </c>
      <c r="D8" t="s">
        <v>34</v>
      </c>
      <c r="E8" t="s">
        <v>16</v>
      </c>
      <c r="G8">
        <v>16.34</v>
      </c>
      <c r="I8" t="s">
        <v>31</v>
      </c>
    </row>
    <row r="9" spans="1:9" x14ac:dyDescent="0.35">
      <c r="A9" t="s">
        <v>35</v>
      </c>
      <c r="B9" t="s">
        <v>36</v>
      </c>
      <c r="C9" s="1">
        <v>45510</v>
      </c>
      <c r="D9" t="s">
        <v>37</v>
      </c>
      <c r="E9" t="s">
        <v>16</v>
      </c>
      <c r="F9">
        <v>8</v>
      </c>
      <c r="G9">
        <v>34.15</v>
      </c>
      <c r="H9">
        <v>273.2</v>
      </c>
      <c r="I9" t="s">
        <v>38</v>
      </c>
    </row>
    <row r="10" spans="1:9" x14ac:dyDescent="0.35">
      <c r="A10" t="s">
        <v>39</v>
      </c>
      <c r="B10" t="s">
        <v>40</v>
      </c>
      <c r="C10" s="1">
        <v>45438</v>
      </c>
      <c r="D10" t="s">
        <v>20</v>
      </c>
      <c r="E10" t="s">
        <v>24</v>
      </c>
      <c r="F10">
        <v>5</v>
      </c>
      <c r="G10">
        <v>198.87</v>
      </c>
      <c r="H10">
        <v>994.35</v>
      </c>
      <c r="I10" t="s">
        <v>38</v>
      </c>
    </row>
    <row r="11" spans="1:9" x14ac:dyDescent="0.35">
      <c r="A11" t="s">
        <v>41</v>
      </c>
      <c r="B11" t="s">
        <v>42</v>
      </c>
      <c r="C11" s="1">
        <v>45176</v>
      </c>
      <c r="D11" t="s">
        <v>37</v>
      </c>
      <c r="E11" t="s">
        <v>24</v>
      </c>
      <c r="G11">
        <v>154.33000000000001</v>
      </c>
      <c r="I11" t="s">
        <v>38</v>
      </c>
    </row>
    <row r="12" spans="1:9" x14ac:dyDescent="0.35">
      <c r="A12" t="s">
        <v>43</v>
      </c>
      <c r="B12" t="s">
        <v>44</v>
      </c>
      <c r="C12" s="1">
        <v>45263</v>
      </c>
      <c r="D12" t="s">
        <v>20</v>
      </c>
      <c r="E12" t="s">
        <v>28</v>
      </c>
      <c r="F12">
        <v>8</v>
      </c>
      <c r="G12">
        <v>151.66</v>
      </c>
      <c r="H12">
        <v>1213.28</v>
      </c>
      <c r="I12" t="s">
        <v>21</v>
      </c>
    </row>
    <row r="13" spans="1:9" x14ac:dyDescent="0.35">
      <c r="A13" t="s">
        <v>45</v>
      </c>
      <c r="B13" t="s">
        <v>46</v>
      </c>
      <c r="C13" s="1">
        <v>45568</v>
      </c>
      <c r="D13" t="s">
        <v>27</v>
      </c>
      <c r="E13" t="s">
        <v>47</v>
      </c>
      <c r="G13">
        <v>12.19</v>
      </c>
      <c r="I13" t="s">
        <v>31</v>
      </c>
    </row>
    <row r="14" spans="1:9" x14ac:dyDescent="0.35">
      <c r="A14" t="s">
        <v>48</v>
      </c>
      <c r="B14" t="s">
        <v>49</v>
      </c>
      <c r="C14" s="1">
        <v>45232</v>
      </c>
      <c r="D14" t="s">
        <v>27</v>
      </c>
      <c r="E14" t="s">
        <v>12</v>
      </c>
      <c r="F14">
        <v>3</v>
      </c>
      <c r="G14">
        <v>125.56</v>
      </c>
      <c r="H14">
        <v>376.68</v>
      </c>
      <c r="I14" t="s">
        <v>13</v>
      </c>
    </row>
    <row r="15" spans="1:9" x14ac:dyDescent="0.35">
      <c r="A15" t="s">
        <v>50</v>
      </c>
      <c r="B15" t="s">
        <v>51</v>
      </c>
      <c r="C15" s="1">
        <v>45772</v>
      </c>
      <c r="D15" t="s">
        <v>20</v>
      </c>
      <c r="E15" t="s">
        <v>24</v>
      </c>
      <c r="G15">
        <v>59.07</v>
      </c>
      <c r="I15" t="s">
        <v>52</v>
      </c>
    </row>
    <row r="16" spans="1:9" x14ac:dyDescent="0.35">
      <c r="A16" t="s">
        <v>53</v>
      </c>
      <c r="B16" t="s">
        <v>54</v>
      </c>
      <c r="C16" s="1">
        <v>45220</v>
      </c>
      <c r="D16" t="s">
        <v>37</v>
      </c>
      <c r="E16" t="s">
        <v>16</v>
      </c>
      <c r="G16">
        <v>105.73</v>
      </c>
      <c r="I16" t="s">
        <v>31</v>
      </c>
    </row>
    <row r="17" spans="1:9" x14ac:dyDescent="0.35">
      <c r="A17" t="s">
        <v>55</v>
      </c>
      <c r="B17" t="s">
        <v>56</v>
      </c>
      <c r="C17" s="1">
        <v>45409</v>
      </c>
      <c r="D17" t="s">
        <v>20</v>
      </c>
      <c r="E17" t="s">
        <v>28</v>
      </c>
      <c r="G17">
        <v>13.24</v>
      </c>
      <c r="I17" t="s">
        <v>52</v>
      </c>
    </row>
    <row r="18" spans="1:9" x14ac:dyDescent="0.35">
      <c r="A18" t="s">
        <v>57</v>
      </c>
      <c r="B18" t="s">
        <v>58</v>
      </c>
      <c r="C18" s="1">
        <v>45520</v>
      </c>
      <c r="D18" t="s">
        <v>20</v>
      </c>
      <c r="E18" t="s">
        <v>47</v>
      </c>
      <c r="F18">
        <v>8</v>
      </c>
      <c r="G18">
        <v>39.26</v>
      </c>
      <c r="H18">
        <v>314.08</v>
      </c>
      <c r="I18" t="s">
        <v>17</v>
      </c>
    </row>
    <row r="19" spans="1:9" x14ac:dyDescent="0.35">
      <c r="A19" t="s">
        <v>59</v>
      </c>
      <c r="B19" t="s">
        <v>60</v>
      </c>
      <c r="C19" s="1">
        <v>45405</v>
      </c>
      <c r="D19" t="s">
        <v>27</v>
      </c>
      <c r="E19" t="s">
        <v>12</v>
      </c>
      <c r="G19">
        <v>51.82</v>
      </c>
      <c r="I19" t="s">
        <v>13</v>
      </c>
    </row>
    <row r="20" spans="1:9" x14ac:dyDescent="0.35">
      <c r="A20" t="s">
        <v>61</v>
      </c>
      <c r="B20" t="s">
        <v>62</v>
      </c>
      <c r="C20" s="1">
        <v>45126</v>
      </c>
      <c r="D20" t="s">
        <v>34</v>
      </c>
      <c r="E20" t="s">
        <v>47</v>
      </c>
      <c r="G20">
        <v>72.75</v>
      </c>
      <c r="I20" t="s">
        <v>52</v>
      </c>
    </row>
    <row r="21" spans="1:9" x14ac:dyDescent="0.35">
      <c r="A21" t="s">
        <v>63</v>
      </c>
      <c r="B21" t="s">
        <v>64</v>
      </c>
      <c r="C21" s="1">
        <v>45071</v>
      </c>
      <c r="D21" t="s">
        <v>11</v>
      </c>
      <c r="E21" t="s">
        <v>12</v>
      </c>
      <c r="F21">
        <v>5</v>
      </c>
      <c r="G21">
        <v>79</v>
      </c>
      <c r="H21">
        <v>395</v>
      </c>
      <c r="I21" t="s">
        <v>52</v>
      </c>
    </row>
    <row r="22" spans="1:9" x14ac:dyDescent="0.35">
      <c r="A22" t="s">
        <v>65</v>
      </c>
      <c r="B22" t="s">
        <v>66</v>
      </c>
      <c r="C22" s="1">
        <v>45554</v>
      </c>
      <c r="D22" t="s">
        <v>20</v>
      </c>
      <c r="E22" t="s">
        <v>28</v>
      </c>
      <c r="G22">
        <v>120.77</v>
      </c>
      <c r="I22" t="s">
        <v>21</v>
      </c>
    </row>
    <row r="23" spans="1:9" x14ac:dyDescent="0.35">
      <c r="A23" t="s">
        <v>67</v>
      </c>
      <c r="B23" t="s">
        <v>68</v>
      </c>
      <c r="C23" s="1">
        <v>45617</v>
      </c>
      <c r="D23" t="s">
        <v>69</v>
      </c>
      <c r="E23" t="s">
        <v>47</v>
      </c>
      <c r="G23">
        <v>176.96</v>
      </c>
      <c r="I23" t="s">
        <v>21</v>
      </c>
    </row>
    <row r="24" spans="1:9" x14ac:dyDescent="0.35">
      <c r="A24" t="s">
        <v>70</v>
      </c>
      <c r="B24" t="s">
        <v>71</v>
      </c>
      <c r="C24" s="1">
        <v>45187</v>
      </c>
      <c r="D24" t="s">
        <v>27</v>
      </c>
      <c r="E24" t="s">
        <v>12</v>
      </c>
      <c r="F24">
        <v>9</v>
      </c>
      <c r="G24">
        <v>182.5</v>
      </c>
      <c r="H24">
        <v>1642.5</v>
      </c>
      <c r="I24" t="s">
        <v>31</v>
      </c>
    </row>
    <row r="25" spans="1:9" x14ac:dyDescent="0.35">
      <c r="A25" t="s">
        <v>72</v>
      </c>
      <c r="B25" t="s">
        <v>73</v>
      </c>
      <c r="C25" s="1">
        <v>45609</v>
      </c>
      <c r="D25" t="s">
        <v>20</v>
      </c>
      <c r="E25" t="s">
        <v>16</v>
      </c>
      <c r="G25">
        <v>156.29</v>
      </c>
      <c r="I25" t="s">
        <v>31</v>
      </c>
    </row>
    <row r="26" spans="1:9" x14ac:dyDescent="0.35">
      <c r="A26" t="s">
        <v>74</v>
      </c>
      <c r="B26" t="s">
        <v>75</v>
      </c>
      <c r="C26" s="1">
        <v>45137</v>
      </c>
      <c r="D26" t="s">
        <v>11</v>
      </c>
      <c r="E26" t="s">
        <v>28</v>
      </c>
      <c r="G26">
        <v>96.43</v>
      </c>
      <c r="I26" t="s">
        <v>31</v>
      </c>
    </row>
    <row r="27" spans="1:9" x14ac:dyDescent="0.35">
      <c r="A27" t="s">
        <v>76</v>
      </c>
      <c r="B27" t="s">
        <v>77</v>
      </c>
      <c r="C27" s="1">
        <v>45369</v>
      </c>
      <c r="D27" t="s">
        <v>69</v>
      </c>
      <c r="E27" t="s">
        <v>24</v>
      </c>
      <c r="G27">
        <v>156.07</v>
      </c>
      <c r="I27" t="s">
        <v>52</v>
      </c>
    </row>
    <row r="28" spans="1:9" x14ac:dyDescent="0.35">
      <c r="A28" t="s">
        <v>78</v>
      </c>
      <c r="B28" t="s">
        <v>79</v>
      </c>
      <c r="C28" s="1">
        <v>45369</v>
      </c>
      <c r="D28" t="s">
        <v>34</v>
      </c>
      <c r="E28" t="s">
        <v>47</v>
      </c>
      <c r="F28">
        <v>4</v>
      </c>
      <c r="G28">
        <v>179.6</v>
      </c>
      <c r="I28" t="s">
        <v>38</v>
      </c>
    </row>
    <row r="29" spans="1:9" x14ac:dyDescent="0.35">
      <c r="A29" t="s">
        <v>80</v>
      </c>
      <c r="B29" t="s">
        <v>81</v>
      </c>
      <c r="C29" s="1">
        <v>45770</v>
      </c>
      <c r="D29" t="s">
        <v>34</v>
      </c>
      <c r="E29" t="s">
        <v>47</v>
      </c>
      <c r="G29">
        <v>85.5</v>
      </c>
      <c r="I29" t="s">
        <v>31</v>
      </c>
    </row>
    <row r="30" spans="1:9" x14ac:dyDescent="0.35">
      <c r="A30" t="s">
        <v>82</v>
      </c>
      <c r="B30" t="s">
        <v>83</v>
      </c>
      <c r="C30" s="1">
        <v>45245</v>
      </c>
      <c r="D30" t="s">
        <v>37</v>
      </c>
      <c r="E30" t="s">
        <v>12</v>
      </c>
      <c r="G30">
        <v>124.55</v>
      </c>
      <c r="I30" t="s">
        <v>17</v>
      </c>
    </row>
    <row r="31" spans="1:9" x14ac:dyDescent="0.35">
      <c r="A31" t="s">
        <v>84</v>
      </c>
      <c r="B31" t="s">
        <v>85</v>
      </c>
      <c r="C31" s="1">
        <v>45217</v>
      </c>
      <c r="D31" t="s">
        <v>69</v>
      </c>
      <c r="E31" t="s">
        <v>16</v>
      </c>
      <c r="G31">
        <v>21.17</v>
      </c>
      <c r="I31" t="s">
        <v>13</v>
      </c>
    </row>
    <row r="32" spans="1:9" x14ac:dyDescent="0.35">
      <c r="A32" t="s">
        <v>86</v>
      </c>
      <c r="B32" t="s">
        <v>87</v>
      </c>
      <c r="C32" s="1">
        <v>45283</v>
      </c>
      <c r="D32" t="s">
        <v>34</v>
      </c>
      <c r="E32" t="s">
        <v>16</v>
      </c>
      <c r="F32">
        <v>3</v>
      </c>
      <c r="G32">
        <v>39.6</v>
      </c>
      <c r="H32">
        <v>118.8</v>
      </c>
      <c r="I32" t="s">
        <v>38</v>
      </c>
    </row>
    <row r="33" spans="1:9" x14ac:dyDescent="0.35">
      <c r="A33" t="s">
        <v>88</v>
      </c>
      <c r="B33" t="s">
        <v>89</v>
      </c>
      <c r="C33" s="1">
        <v>45393</v>
      </c>
      <c r="D33" t="s">
        <v>27</v>
      </c>
      <c r="E33" t="s">
        <v>16</v>
      </c>
      <c r="G33">
        <v>15.02</v>
      </c>
      <c r="I33" t="s">
        <v>52</v>
      </c>
    </row>
    <row r="34" spans="1:9" x14ac:dyDescent="0.35">
      <c r="A34" t="s">
        <v>90</v>
      </c>
      <c r="B34" t="s">
        <v>91</v>
      </c>
      <c r="C34" s="1">
        <v>45581</v>
      </c>
      <c r="D34" t="s">
        <v>69</v>
      </c>
      <c r="E34" t="s">
        <v>28</v>
      </c>
      <c r="G34">
        <v>195.14</v>
      </c>
      <c r="I34" t="s">
        <v>38</v>
      </c>
    </row>
    <row r="35" spans="1:9" x14ac:dyDescent="0.35">
      <c r="A35" t="s">
        <v>92</v>
      </c>
      <c r="B35" t="s">
        <v>93</v>
      </c>
      <c r="C35" s="1">
        <v>45695</v>
      </c>
      <c r="D35" t="s">
        <v>20</v>
      </c>
      <c r="E35" t="s">
        <v>47</v>
      </c>
      <c r="F35">
        <v>9</v>
      </c>
      <c r="G35">
        <v>31.84</v>
      </c>
      <c r="H35">
        <v>286.56</v>
      </c>
      <c r="I35" t="s">
        <v>17</v>
      </c>
    </row>
    <row r="36" spans="1:9" x14ac:dyDescent="0.35">
      <c r="A36" t="s">
        <v>94</v>
      </c>
      <c r="B36" t="s">
        <v>95</v>
      </c>
      <c r="C36" s="1">
        <v>45543</v>
      </c>
      <c r="D36" t="s">
        <v>20</v>
      </c>
      <c r="E36" t="s">
        <v>12</v>
      </c>
      <c r="G36">
        <v>87.04</v>
      </c>
      <c r="I36" t="s">
        <v>13</v>
      </c>
    </row>
    <row r="37" spans="1:9" x14ac:dyDescent="0.35">
      <c r="A37" t="s">
        <v>96</v>
      </c>
      <c r="B37" t="s">
        <v>97</v>
      </c>
      <c r="C37" s="1">
        <v>45261</v>
      </c>
      <c r="D37" t="s">
        <v>27</v>
      </c>
      <c r="E37" t="s">
        <v>47</v>
      </c>
      <c r="G37">
        <v>116.37</v>
      </c>
      <c r="I37" t="s">
        <v>31</v>
      </c>
    </row>
    <row r="38" spans="1:9" x14ac:dyDescent="0.35">
      <c r="A38" t="s">
        <v>98</v>
      </c>
      <c r="B38" t="s">
        <v>99</v>
      </c>
      <c r="C38" s="1">
        <v>45461</v>
      </c>
      <c r="D38" t="s">
        <v>37</v>
      </c>
      <c r="E38" t="s">
        <v>24</v>
      </c>
      <c r="F38">
        <v>4</v>
      </c>
      <c r="G38">
        <v>136.38</v>
      </c>
      <c r="H38">
        <v>545.52</v>
      </c>
      <c r="I38" t="s">
        <v>38</v>
      </c>
    </row>
    <row r="39" spans="1:9" x14ac:dyDescent="0.35">
      <c r="A39" t="s">
        <v>100</v>
      </c>
      <c r="B39" t="s">
        <v>101</v>
      </c>
      <c r="C39" s="1">
        <v>45529</v>
      </c>
      <c r="D39" t="s">
        <v>27</v>
      </c>
      <c r="E39" t="s">
        <v>28</v>
      </c>
      <c r="G39">
        <v>135.72</v>
      </c>
      <c r="I39" t="s">
        <v>31</v>
      </c>
    </row>
    <row r="40" spans="1:9" x14ac:dyDescent="0.35">
      <c r="A40" t="s">
        <v>102</v>
      </c>
      <c r="B40" t="s">
        <v>103</v>
      </c>
      <c r="C40" s="1">
        <v>45224</v>
      </c>
      <c r="D40" t="s">
        <v>37</v>
      </c>
      <c r="E40" t="s">
        <v>16</v>
      </c>
      <c r="F40">
        <v>2</v>
      </c>
      <c r="G40">
        <v>138.76</v>
      </c>
      <c r="I40" t="s">
        <v>38</v>
      </c>
    </row>
    <row r="41" spans="1:9" x14ac:dyDescent="0.35">
      <c r="A41" t="s">
        <v>104</v>
      </c>
      <c r="B41" t="s">
        <v>105</v>
      </c>
      <c r="C41" s="1">
        <v>45351</v>
      </c>
      <c r="D41" t="s">
        <v>11</v>
      </c>
      <c r="E41" t="s">
        <v>24</v>
      </c>
      <c r="G41">
        <v>117.23</v>
      </c>
      <c r="I41" t="s">
        <v>21</v>
      </c>
    </row>
    <row r="42" spans="1:9" x14ac:dyDescent="0.35">
      <c r="A42" t="s">
        <v>106</v>
      </c>
      <c r="B42" t="s">
        <v>107</v>
      </c>
      <c r="C42" s="1">
        <v>45228</v>
      </c>
      <c r="D42" t="s">
        <v>11</v>
      </c>
      <c r="E42" t="s">
        <v>16</v>
      </c>
      <c r="G42">
        <v>158.09</v>
      </c>
      <c r="I42" t="s">
        <v>31</v>
      </c>
    </row>
    <row r="43" spans="1:9" x14ac:dyDescent="0.35">
      <c r="A43" t="s">
        <v>108</v>
      </c>
      <c r="B43" t="s">
        <v>109</v>
      </c>
      <c r="C43" s="1">
        <v>45590</v>
      </c>
      <c r="D43" t="s">
        <v>11</v>
      </c>
      <c r="E43" t="s">
        <v>28</v>
      </c>
      <c r="F43">
        <v>2</v>
      </c>
      <c r="G43">
        <v>169.61</v>
      </c>
      <c r="H43">
        <v>339.22</v>
      </c>
      <c r="I43" t="s">
        <v>31</v>
      </c>
    </row>
    <row r="44" spans="1:9" x14ac:dyDescent="0.35">
      <c r="A44" t="s">
        <v>110</v>
      </c>
      <c r="B44" t="s">
        <v>111</v>
      </c>
      <c r="C44" s="1">
        <v>45269</v>
      </c>
      <c r="D44" t="s">
        <v>27</v>
      </c>
      <c r="E44" t="s">
        <v>47</v>
      </c>
      <c r="G44">
        <v>61.7</v>
      </c>
      <c r="I44" t="s">
        <v>31</v>
      </c>
    </row>
    <row r="45" spans="1:9" x14ac:dyDescent="0.35">
      <c r="A45" t="s">
        <v>112</v>
      </c>
      <c r="B45" t="s">
        <v>113</v>
      </c>
      <c r="C45" s="1">
        <v>45177</v>
      </c>
      <c r="D45" t="s">
        <v>34</v>
      </c>
      <c r="E45" t="s">
        <v>16</v>
      </c>
      <c r="G45">
        <v>64.040000000000006</v>
      </c>
      <c r="I45" t="s">
        <v>13</v>
      </c>
    </row>
    <row r="46" spans="1:9" x14ac:dyDescent="0.35">
      <c r="A46" t="s">
        <v>114</v>
      </c>
      <c r="B46" t="s">
        <v>115</v>
      </c>
      <c r="C46" s="1">
        <v>45294</v>
      </c>
      <c r="D46" t="s">
        <v>37</v>
      </c>
      <c r="E46" t="s">
        <v>24</v>
      </c>
      <c r="F46">
        <v>8</v>
      </c>
      <c r="G46">
        <v>159.63</v>
      </c>
      <c r="H46">
        <v>1277.04</v>
      </c>
      <c r="I46" t="s">
        <v>38</v>
      </c>
    </row>
    <row r="47" spans="1:9" x14ac:dyDescent="0.35">
      <c r="A47" t="s">
        <v>116</v>
      </c>
      <c r="B47" t="s">
        <v>117</v>
      </c>
      <c r="C47" s="1">
        <v>45643</v>
      </c>
      <c r="D47" t="s">
        <v>69</v>
      </c>
      <c r="E47" t="s">
        <v>24</v>
      </c>
      <c r="F47">
        <v>3</v>
      </c>
      <c r="G47">
        <v>116.98</v>
      </c>
      <c r="I47" t="s">
        <v>52</v>
      </c>
    </row>
    <row r="48" spans="1:9" x14ac:dyDescent="0.35">
      <c r="A48" t="s">
        <v>118</v>
      </c>
      <c r="B48" t="s">
        <v>119</v>
      </c>
      <c r="C48" s="1">
        <v>45457</v>
      </c>
      <c r="D48" t="s">
        <v>27</v>
      </c>
      <c r="E48" t="s">
        <v>47</v>
      </c>
      <c r="G48">
        <v>68.58</v>
      </c>
      <c r="I48" t="s">
        <v>31</v>
      </c>
    </row>
    <row r="49" spans="1:9" x14ac:dyDescent="0.35">
      <c r="A49" t="s">
        <v>120</v>
      </c>
      <c r="B49" t="s">
        <v>121</v>
      </c>
      <c r="C49" s="1">
        <v>45718</v>
      </c>
      <c r="D49" t="s">
        <v>69</v>
      </c>
      <c r="E49" t="s">
        <v>47</v>
      </c>
      <c r="F49">
        <v>4</v>
      </c>
      <c r="G49">
        <v>183.96</v>
      </c>
      <c r="H49">
        <v>735.84</v>
      </c>
      <c r="I49" t="s">
        <v>52</v>
      </c>
    </row>
    <row r="50" spans="1:9" x14ac:dyDescent="0.35">
      <c r="A50" t="s">
        <v>122</v>
      </c>
      <c r="B50" t="s">
        <v>123</v>
      </c>
      <c r="C50" s="1">
        <v>45270</v>
      </c>
      <c r="D50" t="s">
        <v>69</v>
      </c>
      <c r="E50" t="s">
        <v>24</v>
      </c>
      <c r="F50">
        <v>2</v>
      </c>
      <c r="G50">
        <v>79.959999999999994</v>
      </c>
      <c r="H50">
        <v>159.91999999999999</v>
      </c>
      <c r="I50" t="s">
        <v>21</v>
      </c>
    </row>
    <row r="51" spans="1:9" x14ac:dyDescent="0.35">
      <c r="A51" t="s">
        <v>124</v>
      </c>
      <c r="B51" t="s">
        <v>125</v>
      </c>
      <c r="C51" s="1">
        <v>45281</v>
      </c>
      <c r="D51" t="s">
        <v>34</v>
      </c>
      <c r="E51" t="s">
        <v>16</v>
      </c>
      <c r="F51">
        <v>8</v>
      </c>
      <c r="G51">
        <v>89</v>
      </c>
      <c r="H51">
        <v>712</v>
      </c>
      <c r="I51" t="s">
        <v>52</v>
      </c>
    </row>
    <row r="52" spans="1:9" x14ac:dyDescent="0.35">
      <c r="A52" t="s">
        <v>126</v>
      </c>
      <c r="B52" t="s">
        <v>127</v>
      </c>
      <c r="C52" s="1">
        <v>45614</v>
      </c>
      <c r="D52" t="s">
        <v>20</v>
      </c>
      <c r="E52" t="s">
        <v>12</v>
      </c>
      <c r="F52">
        <v>4</v>
      </c>
      <c r="G52">
        <v>186.55</v>
      </c>
      <c r="H52">
        <v>746.2</v>
      </c>
      <c r="I52" t="s">
        <v>52</v>
      </c>
    </row>
    <row r="53" spans="1:9" x14ac:dyDescent="0.35">
      <c r="A53" t="s">
        <v>128</v>
      </c>
      <c r="B53" t="s">
        <v>129</v>
      </c>
      <c r="C53" s="1">
        <v>45669</v>
      </c>
      <c r="D53" t="s">
        <v>20</v>
      </c>
      <c r="E53" t="s">
        <v>12</v>
      </c>
      <c r="G53">
        <v>106.73</v>
      </c>
      <c r="I53" t="s">
        <v>17</v>
      </c>
    </row>
    <row r="54" spans="1:9" x14ac:dyDescent="0.35">
      <c r="A54" t="s">
        <v>130</v>
      </c>
      <c r="B54" t="s">
        <v>131</v>
      </c>
      <c r="C54" s="1">
        <v>45081</v>
      </c>
      <c r="D54" t="s">
        <v>20</v>
      </c>
      <c r="E54" t="s">
        <v>28</v>
      </c>
      <c r="G54">
        <v>196.07</v>
      </c>
      <c r="I54" t="s">
        <v>31</v>
      </c>
    </row>
    <row r="55" spans="1:9" x14ac:dyDescent="0.35">
      <c r="A55" t="s">
        <v>132</v>
      </c>
      <c r="B55" t="s">
        <v>133</v>
      </c>
      <c r="C55" s="1">
        <v>45143</v>
      </c>
      <c r="D55" t="s">
        <v>34</v>
      </c>
      <c r="E55" t="s">
        <v>16</v>
      </c>
      <c r="G55">
        <v>106.44</v>
      </c>
      <c r="I55" t="s">
        <v>52</v>
      </c>
    </row>
    <row r="56" spans="1:9" x14ac:dyDescent="0.35">
      <c r="A56" t="s">
        <v>134</v>
      </c>
      <c r="B56" t="s">
        <v>135</v>
      </c>
      <c r="C56" s="1">
        <v>45690</v>
      </c>
      <c r="D56" t="s">
        <v>20</v>
      </c>
      <c r="E56" t="s">
        <v>47</v>
      </c>
      <c r="F56">
        <v>4</v>
      </c>
      <c r="G56">
        <v>69.989999999999995</v>
      </c>
      <c r="H56">
        <v>279.95999999999998</v>
      </c>
      <c r="I56" t="s">
        <v>38</v>
      </c>
    </row>
    <row r="57" spans="1:9" x14ac:dyDescent="0.35">
      <c r="A57" t="s">
        <v>136</v>
      </c>
      <c r="B57" t="s">
        <v>137</v>
      </c>
      <c r="C57" s="1">
        <v>45197</v>
      </c>
      <c r="D57" t="s">
        <v>34</v>
      </c>
      <c r="E57" t="s">
        <v>24</v>
      </c>
      <c r="F57">
        <v>6</v>
      </c>
      <c r="G57">
        <v>152.11000000000001</v>
      </c>
      <c r="H57">
        <v>912.66</v>
      </c>
      <c r="I57" t="s">
        <v>38</v>
      </c>
    </row>
    <row r="58" spans="1:9" x14ac:dyDescent="0.35">
      <c r="A58" t="s">
        <v>138</v>
      </c>
      <c r="B58" t="s">
        <v>139</v>
      </c>
      <c r="C58" s="1">
        <v>45188</v>
      </c>
      <c r="D58" t="s">
        <v>37</v>
      </c>
      <c r="E58" t="s">
        <v>24</v>
      </c>
      <c r="F58">
        <v>2</v>
      </c>
      <c r="G58">
        <v>136.25</v>
      </c>
      <c r="H58">
        <v>272.5</v>
      </c>
      <c r="I58" t="s">
        <v>31</v>
      </c>
    </row>
    <row r="59" spans="1:9" x14ac:dyDescent="0.35">
      <c r="A59" t="s">
        <v>140</v>
      </c>
      <c r="B59" t="s">
        <v>141</v>
      </c>
      <c r="C59" s="1">
        <v>45175</v>
      </c>
      <c r="D59" t="s">
        <v>34</v>
      </c>
      <c r="E59" t="s">
        <v>28</v>
      </c>
      <c r="F59">
        <v>2</v>
      </c>
      <c r="G59">
        <v>187.49</v>
      </c>
      <c r="H59">
        <v>374.98</v>
      </c>
      <c r="I59" t="s">
        <v>21</v>
      </c>
    </row>
    <row r="60" spans="1:9" x14ac:dyDescent="0.35">
      <c r="A60" t="s">
        <v>142</v>
      </c>
      <c r="B60" t="s">
        <v>143</v>
      </c>
      <c r="C60" s="1">
        <v>45535</v>
      </c>
      <c r="D60" t="s">
        <v>34</v>
      </c>
      <c r="E60" t="s">
        <v>16</v>
      </c>
      <c r="G60">
        <v>17.12</v>
      </c>
      <c r="I60" t="s">
        <v>38</v>
      </c>
    </row>
    <row r="61" spans="1:9" x14ac:dyDescent="0.35">
      <c r="A61" t="s">
        <v>144</v>
      </c>
      <c r="B61" t="s">
        <v>145</v>
      </c>
      <c r="C61" s="1">
        <v>45200</v>
      </c>
      <c r="D61" t="s">
        <v>27</v>
      </c>
      <c r="E61" t="s">
        <v>28</v>
      </c>
      <c r="F61">
        <v>8</v>
      </c>
      <c r="G61">
        <v>62.07</v>
      </c>
      <c r="H61">
        <v>496.56</v>
      </c>
      <c r="I61" t="s">
        <v>38</v>
      </c>
    </row>
    <row r="62" spans="1:9" x14ac:dyDescent="0.35">
      <c r="A62" t="s">
        <v>146</v>
      </c>
      <c r="B62" t="s">
        <v>147</v>
      </c>
      <c r="C62" s="1">
        <v>45306</v>
      </c>
      <c r="D62" t="s">
        <v>20</v>
      </c>
      <c r="E62" t="s">
        <v>28</v>
      </c>
      <c r="G62">
        <v>113.09</v>
      </c>
      <c r="I62" t="s">
        <v>13</v>
      </c>
    </row>
    <row r="63" spans="1:9" x14ac:dyDescent="0.35">
      <c r="A63" t="s">
        <v>148</v>
      </c>
      <c r="B63" t="s">
        <v>149</v>
      </c>
      <c r="C63" s="1">
        <v>45293</v>
      </c>
      <c r="D63" t="s">
        <v>37</v>
      </c>
      <c r="E63" t="s">
        <v>24</v>
      </c>
      <c r="F63">
        <v>9</v>
      </c>
      <c r="G63">
        <v>75.930000000000007</v>
      </c>
      <c r="H63">
        <v>683.37</v>
      </c>
      <c r="I63" t="s">
        <v>21</v>
      </c>
    </row>
    <row r="64" spans="1:9" x14ac:dyDescent="0.35">
      <c r="A64" t="s">
        <v>150</v>
      </c>
      <c r="B64" t="s">
        <v>151</v>
      </c>
      <c r="C64" s="1">
        <v>45742</v>
      </c>
      <c r="D64" t="s">
        <v>11</v>
      </c>
      <c r="E64" t="s">
        <v>28</v>
      </c>
      <c r="G64">
        <v>125.63</v>
      </c>
      <c r="I64" t="s">
        <v>17</v>
      </c>
    </row>
    <row r="65" spans="1:9" x14ac:dyDescent="0.35">
      <c r="A65" t="s">
        <v>152</v>
      </c>
      <c r="B65" t="s">
        <v>153</v>
      </c>
      <c r="C65" s="1">
        <v>45187</v>
      </c>
      <c r="D65" t="s">
        <v>11</v>
      </c>
      <c r="E65" t="s">
        <v>12</v>
      </c>
      <c r="F65">
        <v>5</v>
      </c>
      <c r="G65">
        <v>181.62</v>
      </c>
      <c r="I65" t="s">
        <v>13</v>
      </c>
    </row>
    <row r="66" spans="1:9" x14ac:dyDescent="0.35">
      <c r="A66" t="s">
        <v>154</v>
      </c>
      <c r="B66" t="s">
        <v>155</v>
      </c>
      <c r="C66" s="1">
        <v>45399</v>
      </c>
      <c r="D66" t="s">
        <v>37</v>
      </c>
      <c r="E66" t="s">
        <v>47</v>
      </c>
      <c r="F66">
        <v>2</v>
      </c>
      <c r="G66">
        <v>168.59</v>
      </c>
      <c r="H66">
        <v>337.18</v>
      </c>
      <c r="I66" t="s">
        <v>17</v>
      </c>
    </row>
    <row r="67" spans="1:9" x14ac:dyDescent="0.35">
      <c r="A67" t="s">
        <v>156</v>
      </c>
      <c r="B67" t="s">
        <v>157</v>
      </c>
      <c r="C67" s="1">
        <v>45545</v>
      </c>
      <c r="D67" t="s">
        <v>27</v>
      </c>
      <c r="E67" t="s">
        <v>24</v>
      </c>
      <c r="F67">
        <v>5</v>
      </c>
      <c r="G67">
        <v>107.79</v>
      </c>
      <c r="H67">
        <v>538.95000000000005</v>
      </c>
      <c r="I67" t="s">
        <v>38</v>
      </c>
    </row>
    <row r="68" spans="1:9" x14ac:dyDescent="0.35">
      <c r="A68" t="s">
        <v>158</v>
      </c>
      <c r="B68" t="s">
        <v>159</v>
      </c>
      <c r="C68" s="1">
        <v>45432</v>
      </c>
      <c r="D68" t="s">
        <v>34</v>
      </c>
      <c r="E68" t="s">
        <v>24</v>
      </c>
      <c r="F68">
        <v>8</v>
      </c>
      <c r="G68">
        <v>58.8</v>
      </c>
      <c r="H68">
        <v>470.4</v>
      </c>
      <c r="I68" t="s">
        <v>38</v>
      </c>
    </row>
    <row r="69" spans="1:9" x14ac:dyDescent="0.35">
      <c r="A69" t="s">
        <v>160</v>
      </c>
      <c r="B69" t="s">
        <v>161</v>
      </c>
      <c r="C69" s="1">
        <v>45524</v>
      </c>
      <c r="D69" t="s">
        <v>27</v>
      </c>
      <c r="E69" t="s">
        <v>16</v>
      </c>
      <c r="G69">
        <v>80.63</v>
      </c>
      <c r="I69" t="s">
        <v>13</v>
      </c>
    </row>
    <row r="70" spans="1:9" x14ac:dyDescent="0.35">
      <c r="A70" t="s">
        <v>162</v>
      </c>
      <c r="B70" t="s">
        <v>163</v>
      </c>
      <c r="C70" s="1">
        <v>45090</v>
      </c>
      <c r="D70" t="s">
        <v>27</v>
      </c>
      <c r="E70" t="s">
        <v>16</v>
      </c>
      <c r="F70">
        <v>9</v>
      </c>
      <c r="G70">
        <v>61.33</v>
      </c>
      <c r="H70">
        <v>551.97</v>
      </c>
      <c r="I70" t="s">
        <v>17</v>
      </c>
    </row>
    <row r="71" spans="1:9" x14ac:dyDescent="0.35">
      <c r="A71" t="s">
        <v>164</v>
      </c>
      <c r="B71" t="s">
        <v>165</v>
      </c>
      <c r="C71" s="1">
        <v>45146</v>
      </c>
      <c r="D71" t="s">
        <v>34</v>
      </c>
      <c r="E71" t="s">
        <v>24</v>
      </c>
      <c r="F71">
        <v>1</v>
      </c>
      <c r="G71">
        <v>196.31</v>
      </c>
      <c r="H71">
        <v>196.31</v>
      </c>
      <c r="I71" t="s">
        <v>13</v>
      </c>
    </row>
    <row r="72" spans="1:9" x14ac:dyDescent="0.35">
      <c r="A72" t="s">
        <v>166</v>
      </c>
      <c r="B72" t="s">
        <v>167</v>
      </c>
      <c r="C72" s="1">
        <v>45141</v>
      </c>
      <c r="D72" t="s">
        <v>11</v>
      </c>
      <c r="E72" t="s">
        <v>24</v>
      </c>
      <c r="F72">
        <v>9</v>
      </c>
      <c r="G72">
        <v>76.02</v>
      </c>
      <c r="H72">
        <v>684.18</v>
      </c>
      <c r="I72" t="s">
        <v>17</v>
      </c>
    </row>
    <row r="73" spans="1:9" x14ac:dyDescent="0.35">
      <c r="A73" t="s">
        <v>168</v>
      </c>
      <c r="B73" t="s">
        <v>169</v>
      </c>
      <c r="C73" s="1">
        <v>45202</v>
      </c>
      <c r="D73" t="s">
        <v>27</v>
      </c>
      <c r="E73" t="s">
        <v>16</v>
      </c>
      <c r="G73">
        <v>51.21</v>
      </c>
      <c r="I73" t="s">
        <v>52</v>
      </c>
    </row>
    <row r="74" spans="1:9" x14ac:dyDescent="0.35">
      <c r="A74" t="s">
        <v>170</v>
      </c>
      <c r="B74" t="s">
        <v>171</v>
      </c>
      <c r="C74" s="1">
        <v>45636</v>
      </c>
      <c r="D74" t="s">
        <v>37</v>
      </c>
      <c r="E74" t="s">
        <v>28</v>
      </c>
      <c r="F74">
        <v>9</v>
      </c>
      <c r="G74">
        <v>164.59</v>
      </c>
      <c r="H74">
        <v>1481.31</v>
      </c>
      <c r="I74" t="s">
        <v>31</v>
      </c>
    </row>
    <row r="75" spans="1:9" x14ac:dyDescent="0.35">
      <c r="A75" t="s">
        <v>172</v>
      </c>
      <c r="B75" t="s">
        <v>173</v>
      </c>
      <c r="C75" s="1">
        <v>45520</v>
      </c>
      <c r="D75" t="s">
        <v>37</v>
      </c>
      <c r="E75" t="s">
        <v>12</v>
      </c>
      <c r="G75">
        <v>139.71</v>
      </c>
      <c r="I75" t="s">
        <v>13</v>
      </c>
    </row>
    <row r="76" spans="1:9" x14ac:dyDescent="0.35">
      <c r="A76" t="s">
        <v>174</v>
      </c>
      <c r="B76" t="s">
        <v>175</v>
      </c>
      <c r="C76" s="1">
        <v>45700</v>
      </c>
      <c r="D76" t="s">
        <v>20</v>
      </c>
      <c r="E76" t="s">
        <v>16</v>
      </c>
      <c r="G76">
        <v>93.23</v>
      </c>
      <c r="I76" t="s">
        <v>13</v>
      </c>
    </row>
    <row r="77" spans="1:9" x14ac:dyDescent="0.35">
      <c r="A77" t="s">
        <v>176</v>
      </c>
      <c r="B77" t="s">
        <v>177</v>
      </c>
      <c r="C77" s="1">
        <v>45656</v>
      </c>
      <c r="D77" t="s">
        <v>37</v>
      </c>
      <c r="E77" t="s">
        <v>24</v>
      </c>
      <c r="G77">
        <v>26.96</v>
      </c>
      <c r="I77" t="s">
        <v>31</v>
      </c>
    </row>
    <row r="78" spans="1:9" x14ac:dyDescent="0.35">
      <c r="A78" t="s">
        <v>178</v>
      </c>
      <c r="B78" t="s">
        <v>179</v>
      </c>
      <c r="C78" s="1">
        <v>45117</v>
      </c>
      <c r="D78" t="s">
        <v>37</v>
      </c>
      <c r="E78" t="s">
        <v>28</v>
      </c>
      <c r="G78">
        <v>81.73</v>
      </c>
      <c r="I78" t="s">
        <v>31</v>
      </c>
    </row>
    <row r="79" spans="1:9" x14ac:dyDescent="0.35">
      <c r="A79" t="s">
        <v>180</v>
      </c>
      <c r="B79" t="s">
        <v>181</v>
      </c>
      <c r="C79" s="1">
        <v>45397</v>
      </c>
      <c r="D79" t="s">
        <v>69</v>
      </c>
      <c r="E79" t="s">
        <v>47</v>
      </c>
      <c r="F79">
        <v>3</v>
      </c>
      <c r="G79">
        <v>187.17</v>
      </c>
      <c r="H79">
        <v>561.51</v>
      </c>
      <c r="I79" t="s">
        <v>21</v>
      </c>
    </row>
    <row r="80" spans="1:9" x14ac:dyDescent="0.35">
      <c r="A80" t="s">
        <v>182</v>
      </c>
      <c r="B80" t="s">
        <v>183</v>
      </c>
      <c r="C80" s="1">
        <v>45088</v>
      </c>
      <c r="D80" t="s">
        <v>69</v>
      </c>
      <c r="E80" t="s">
        <v>47</v>
      </c>
      <c r="F80">
        <v>1</v>
      </c>
      <c r="G80">
        <v>53.68</v>
      </c>
      <c r="H80">
        <v>53.68</v>
      </c>
      <c r="I80" t="s">
        <v>21</v>
      </c>
    </row>
    <row r="81" spans="1:9" x14ac:dyDescent="0.35">
      <c r="A81" t="s">
        <v>184</v>
      </c>
      <c r="B81" t="s">
        <v>185</v>
      </c>
      <c r="C81" s="1">
        <v>45554</v>
      </c>
      <c r="D81" t="s">
        <v>27</v>
      </c>
      <c r="E81" t="s">
        <v>28</v>
      </c>
      <c r="G81">
        <v>180.57</v>
      </c>
      <c r="I81" t="s">
        <v>13</v>
      </c>
    </row>
    <row r="82" spans="1:9" x14ac:dyDescent="0.35">
      <c r="A82" t="s">
        <v>186</v>
      </c>
      <c r="B82" t="s">
        <v>187</v>
      </c>
      <c r="C82" s="1">
        <v>45635</v>
      </c>
      <c r="D82" t="s">
        <v>11</v>
      </c>
      <c r="E82" t="s">
        <v>12</v>
      </c>
      <c r="G82">
        <v>186.74</v>
      </c>
      <c r="I82" t="s">
        <v>52</v>
      </c>
    </row>
    <row r="83" spans="1:9" x14ac:dyDescent="0.35">
      <c r="A83" t="s">
        <v>188</v>
      </c>
      <c r="B83" t="s">
        <v>189</v>
      </c>
      <c r="C83" s="1">
        <v>45293</v>
      </c>
      <c r="D83" t="s">
        <v>27</v>
      </c>
      <c r="E83" t="s">
        <v>16</v>
      </c>
      <c r="G83">
        <v>27.49</v>
      </c>
      <c r="I83" t="s">
        <v>31</v>
      </c>
    </row>
    <row r="84" spans="1:9" x14ac:dyDescent="0.35">
      <c r="A84" t="s">
        <v>190</v>
      </c>
      <c r="B84" t="s">
        <v>191</v>
      </c>
      <c r="C84" s="1">
        <v>45590</v>
      </c>
      <c r="D84" t="s">
        <v>27</v>
      </c>
      <c r="E84" t="s">
        <v>47</v>
      </c>
      <c r="F84">
        <v>1</v>
      </c>
      <c r="G84">
        <v>186.56</v>
      </c>
      <c r="H84">
        <v>186.56</v>
      </c>
      <c r="I84" t="s">
        <v>52</v>
      </c>
    </row>
    <row r="85" spans="1:9" x14ac:dyDescent="0.35">
      <c r="A85" t="s">
        <v>192</v>
      </c>
      <c r="B85" t="s">
        <v>193</v>
      </c>
      <c r="C85" s="1">
        <v>45607</v>
      </c>
      <c r="D85" t="s">
        <v>20</v>
      </c>
      <c r="E85" t="s">
        <v>16</v>
      </c>
      <c r="G85">
        <v>19.3</v>
      </c>
      <c r="I85" t="s">
        <v>21</v>
      </c>
    </row>
    <row r="86" spans="1:9" x14ac:dyDescent="0.35">
      <c r="A86" t="s">
        <v>194</v>
      </c>
      <c r="B86" t="s">
        <v>195</v>
      </c>
      <c r="C86" s="1">
        <v>45674</v>
      </c>
      <c r="D86" t="s">
        <v>69</v>
      </c>
      <c r="E86" t="s">
        <v>16</v>
      </c>
      <c r="G86">
        <v>20.32</v>
      </c>
      <c r="I86" t="s">
        <v>13</v>
      </c>
    </row>
    <row r="87" spans="1:9" x14ac:dyDescent="0.35">
      <c r="A87" t="s">
        <v>196</v>
      </c>
      <c r="B87" t="s">
        <v>197</v>
      </c>
      <c r="C87" s="1">
        <v>45463</v>
      </c>
      <c r="D87" t="s">
        <v>11</v>
      </c>
      <c r="E87" t="s">
        <v>16</v>
      </c>
      <c r="F87">
        <v>9</v>
      </c>
      <c r="G87">
        <v>59.2</v>
      </c>
      <c r="I87" t="s">
        <v>21</v>
      </c>
    </row>
    <row r="88" spans="1:9" x14ac:dyDescent="0.35">
      <c r="A88" t="s">
        <v>198</v>
      </c>
      <c r="B88" t="s">
        <v>199</v>
      </c>
      <c r="C88" s="1">
        <v>45122</v>
      </c>
      <c r="D88" t="s">
        <v>69</v>
      </c>
      <c r="E88" t="s">
        <v>47</v>
      </c>
      <c r="G88">
        <v>50.44</v>
      </c>
      <c r="I88" t="s">
        <v>17</v>
      </c>
    </row>
    <row r="89" spans="1:9" x14ac:dyDescent="0.35">
      <c r="A89" t="s">
        <v>200</v>
      </c>
      <c r="B89" t="s">
        <v>201</v>
      </c>
      <c r="C89" s="1">
        <v>45061</v>
      </c>
      <c r="D89" t="s">
        <v>37</v>
      </c>
      <c r="E89" t="s">
        <v>12</v>
      </c>
      <c r="G89">
        <v>133.88999999999999</v>
      </c>
      <c r="I89" t="s">
        <v>21</v>
      </c>
    </row>
    <row r="90" spans="1:9" x14ac:dyDescent="0.35">
      <c r="A90" t="s">
        <v>202</v>
      </c>
      <c r="B90" t="s">
        <v>203</v>
      </c>
      <c r="C90" s="1">
        <v>45171</v>
      </c>
      <c r="D90" t="s">
        <v>11</v>
      </c>
      <c r="E90" t="s">
        <v>12</v>
      </c>
      <c r="F90">
        <v>8</v>
      </c>
      <c r="G90">
        <v>46.08</v>
      </c>
      <c r="H90">
        <v>368.64</v>
      </c>
      <c r="I90" t="s">
        <v>17</v>
      </c>
    </row>
    <row r="91" spans="1:9" x14ac:dyDescent="0.35">
      <c r="A91" t="s">
        <v>204</v>
      </c>
      <c r="B91" t="s">
        <v>205</v>
      </c>
      <c r="C91" s="1">
        <v>45505</v>
      </c>
      <c r="D91" t="s">
        <v>20</v>
      </c>
      <c r="E91" t="s">
        <v>28</v>
      </c>
      <c r="G91">
        <v>174.72</v>
      </c>
      <c r="I91" t="s">
        <v>52</v>
      </c>
    </row>
    <row r="92" spans="1:9" x14ac:dyDescent="0.35">
      <c r="A92" t="s">
        <v>206</v>
      </c>
      <c r="B92" t="s">
        <v>207</v>
      </c>
      <c r="C92" s="1">
        <v>45179</v>
      </c>
      <c r="D92" t="s">
        <v>20</v>
      </c>
      <c r="E92" t="s">
        <v>47</v>
      </c>
      <c r="F92">
        <v>1</v>
      </c>
      <c r="G92">
        <v>28.84</v>
      </c>
      <c r="H92">
        <v>28.84</v>
      </c>
      <c r="I92" t="s">
        <v>52</v>
      </c>
    </row>
    <row r="93" spans="1:9" x14ac:dyDescent="0.35">
      <c r="A93" t="s">
        <v>208</v>
      </c>
      <c r="B93" t="s">
        <v>209</v>
      </c>
      <c r="C93" s="1">
        <v>45652</v>
      </c>
      <c r="D93" t="s">
        <v>69</v>
      </c>
      <c r="E93" t="s">
        <v>28</v>
      </c>
      <c r="F93">
        <v>7</v>
      </c>
      <c r="G93">
        <v>22.16</v>
      </c>
      <c r="H93">
        <v>155.12</v>
      </c>
      <c r="I93" t="s">
        <v>13</v>
      </c>
    </row>
    <row r="94" spans="1:9" x14ac:dyDescent="0.35">
      <c r="A94" t="s">
        <v>210</v>
      </c>
      <c r="B94" t="s">
        <v>211</v>
      </c>
      <c r="C94" s="1">
        <v>45637</v>
      </c>
      <c r="D94" t="s">
        <v>69</v>
      </c>
      <c r="E94" t="s">
        <v>28</v>
      </c>
      <c r="F94">
        <v>7</v>
      </c>
      <c r="G94">
        <v>117.15</v>
      </c>
      <c r="H94">
        <v>820.05</v>
      </c>
      <c r="I94" t="s">
        <v>31</v>
      </c>
    </row>
    <row r="95" spans="1:9" x14ac:dyDescent="0.35">
      <c r="A95" t="s">
        <v>212</v>
      </c>
      <c r="B95" t="s">
        <v>213</v>
      </c>
      <c r="C95" s="1">
        <v>45603</v>
      </c>
      <c r="D95" t="s">
        <v>69</v>
      </c>
      <c r="E95" t="s">
        <v>24</v>
      </c>
      <c r="G95">
        <v>72.5</v>
      </c>
      <c r="I95" t="s">
        <v>17</v>
      </c>
    </row>
    <row r="96" spans="1:9" x14ac:dyDescent="0.35">
      <c r="A96" t="s">
        <v>214</v>
      </c>
      <c r="B96" t="s">
        <v>215</v>
      </c>
      <c r="C96" s="1">
        <v>45076</v>
      </c>
      <c r="D96" t="s">
        <v>20</v>
      </c>
      <c r="E96" t="s">
        <v>47</v>
      </c>
      <c r="F96">
        <v>5</v>
      </c>
      <c r="G96">
        <v>49.73</v>
      </c>
      <c r="H96">
        <v>248.65</v>
      </c>
      <c r="I96" t="s">
        <v>31</v>
      </c>
    </row>
    <row r="97" spans="1:9" x14ac:dyDescent="0.35">
      <c r="A97" t="s">
        <v>216</v>
      </c>
      <c r="B97" t="s">
        <v>217</v>
      </c>
      <c r="C97" s="1">
        <v>45360</v>
      </c>
      <c r="D97" t="s">
        <v>34</v>
      </c>
      <c r="E97" t="s">
        <v>28</v>
      </c>
      <c r="G97">
        <v>126.05</v>
      </c>
      <c r="I97" t="s">
        <v>13</v>
      </c>
    </row>
    <row r="98" spans="1:9" x14ac:dyDescent="0.35">
      <c r="A98" t="s">
        <v>218</v>
      </c>
      <c r="B98" t="s">
        <v>219</v>
      </c>
      <c r="C98" s="1">
        <v>45056</v>
      </c>
      <c r="D98" t="s">
        <v>27</v>
      </c>
      <c r="E98" t="s">
        <v>16</v>
      </c>
      <c r="F98">
        <v>8</v>
      </c>
      <c r="G98">
        <v>109.19</v>
      </c>
      <c r="H98">
        <v>873.52</v>
      </c>
      <c r="I98" t="s">
        <v>38</v>
      </c>
    </row>
    <row r="99" spans="1:9" x14ac:dyDescent="0.35">
      <c r="A99" t="s">
        <v>220</v>
      </c>
      <c r="B99" t="s">
        <v>221</v>
      </c>
      <c r="C99" s="1">
        <v>45281</v>
      </c>
      <c r="D99" t="s">
        <v>11</v>
      </c>
      <c r="E99" t="s">
        <v>24</v>
      </c>
      <c r="F99">
        <v>6</v>
      </c>
      <c r="G99">
        <v>147.35</v>
      </c>
      <c r="H99">
        <v>884.1</v>
      </c>
      <c r="I99" t="s">
        <v>13</v>
      </c>
    </row>
    <row r="100" spans="1:9" x14ac:dyDescent="0.35">
      <c r="A100" t="s">
        <v>222</v>
      </c>
      <c r="B100" t="s">
        <v>223</v>
      </c>
      <c r="C100" s="1">
        <v>45734</v>
      </c>
      <c r="D100" t="s">
        <v>20</v>
      </c>
      <c r="E100" t="s">
        <v>16</v>
      </c>
      <c r="F100">
        <v>3</v>
      </c>
      <c r="G100">
        <v>120.21</v>
      </c>
      <c r="H100">
        <v>360.63</v>
      </c>
      <c r="I100" t="s">
        <v>31</v>
      </c>
    </row>
    <row r="101" spans="1:9" x14ac:dyDescent="0.35">
      <c r="A101" t="s">
        <v>224</v>
      </c>
      <c r="B101" t="s">
        <v>225</v>
      </c>
      <c r="C101" s="1">
        <v>45668</v>
      </c>
      <c r="D101" t="s">
        <v>69</v>
      </c>
      <c r="E101" t="s">
        <v>28</v>
      </c>
      <c r="G101">
        <v>37.35</v>
      </c>
      <c r="I101" t="s">
        <v>21</v>
      </c>
    </row>
    <row r="102" spans="1:9" x14ac:dyDescent="0.35">
      <c r="A102" t="s">
        <v>226</v>
      </c>
      <c r="B102" t="s">
        <v>227</v>
      </c>
      <c r="C102" s="1">
        <v>45775</v>
      </c>
      <c r="D102" t="s">
        <v>20</v>
      </c>
      <c r="E102" t="s">
        <v>24</v>
      </c>
      <c r="F102">
        <v>3</v>
      </c>
      <c r="G102">
        <v>70.709999999999994</v>
      </c>
      <c r="H102">
        <v>212.13</v>
      </c>
      <c r="I102" t="s">
        <v>38</v>
      </c>
    </row>
    <row r="103" spans="1:9" x14ac:dyDescent="0.35">
      <c r="A103" t="s">
        <v>228</v>
      </c>
      <c r="B103" t="s">
        <v>229</v>
      </c>
      <c r="C103" s="1">
        <v>45573</v>
      </c>
      <c r="D103" t="s">
        <v>34</v>
      </c>
      <c r="E103" t="s">
        <v>47</v>
      </c>
      <c r="G103">
        <v>169.35</v>
      </c>
      <c r="I103" t="s">
        <v>13</v>
      </c>
    </row>
    <row r="104" spans="1:9" x14ac:dyDescent="0.35">
      <c r="A104" t="s">
        <v>230</v>
      </c>
      <c r="B104" t="s">
        <v>231</v>
      </c>
      <c r="C104" s="1">
        <v>45129</v>
      </c>
      <c r="D104" t="s">
        <v>34</v>
      </c>
      <c r="E104" t="s">
        <v>12</v>
      </c>
      <c r="G104">
        <v>129.85</v>
      </c>
      <c r="I104" t="s">
        <v>31</v>
      </c>
    </row>
    <row r="105" spans="1:9" x14ac:dyDescent="0.35">
      <c r="A105" t="s">
        <v>232</v>
      </c>
      <c r="B105" t="s">
        <v>233</v>
      </c>
      <c r="C105" s="1">
        <v>45059</v>
      </c>
      <c r="D105" t="s">
        <v>11</v>
      </c>
      <c r="E105" t="s">
        <v>24</v>
      </c>
      <c r="G105">
        <v>98.47</v>
      </c>
      <c r="I105" t="s">
        <v>21</v>
      </c>
    </row>
    <row r="106" spans="1:9" x14ac:dyDescent="0.35">
      <c r="A106" t="s">
        <v>234</v>
      </c>
      <c r="B106" t="s">
        <v>235</v>
      </c>
      <c r="C106" s="1">
        <v>45454</v>
      </c>
      <c r="D106" t="s">
        <v>69</v>
      </c>
      <c r="E106" t="s">
        <v>28</v>
      </c>
      <c r="G106">
        <v>48.93</v>
      </c>
      <c r="I106" t="s">
        <v>21</v>
      </c>
    </row>
    <row r="107" spans="1:9" x14ac:dyDescent="0.35">
      <c r="A107" t="s">
        <v>236</v>
      </c>
      <c r="B107" t="s">
        <v>237</v>
      </c>
      <c r="C107" s="1">
        <v>45300</v>
      </c>
      <c r="D107" t="s">
        <v>37</v>
      </c>
      <c r="E107" t="s">
        <v>12</v>
      </c>
      <c r="G107">
        <v>56.57</v>
      </c>
      <c r="I107" t="s">
        <v>13</v>
      </c>
    </row>
    <row r="108" spans="1:9" x14ac:dyDescent="0.35">
      <c r="A108" t="s">
        <v>238</v>
      </c>
      <c r="B108" t="s">
        <v>239</v>
      </c>
      <c r="C108" s="1">
        <v>45081</v>
      </c>
      <c r="D108" t="s">
        <v>37</v>
      </c>
      <c r="E108" t="s">
        <v>12</v>
      </c>
      <c r="G108">
        <v>53.06</v>
      </c>
      <c r="I108" t="s">
        <v>17</v>
      </c>
    </row>
    <row r="109" spans="1:9" x14ac:dyDescent="0.35">
      <c r="A109" t="s">
        <v>240</v>
      </c>
      <c r="B109" t="s">
        <v>241</v>
      </c>
      <c r="C109" s="1">
        <v>45332</v>
      </c>
      <c r="D109" t="s">
        <v>37</v>
      </c>
      <c r="E109" t="s">
        <v>12</v>
      </c>
      <c r="F109">
        <v>9</v>
      </c>
      <c r="G109">
        <v>52.53</v>
      </c>
      <c r="H109">
        <v>472.77</v>
      </c>
      <c r="I109" t="s">
        <v>52</v>
      </c>
    </row>
    <row r="110" spans="1:9" x14ac:dyDescent="0.35">
      <c r="A110" t="s">
        <v>242</v>
      </c>
      <c r="B110" t="s">
        <v>243</v>
      </c>
      <c r="C110" s="1">
        <v>45773</v>
      </c>
      <c r="D110" t="s">
        <v>27</v>
      </c>
      <c r="E110" t="s">
        <v>28</v>
      </c>
      <c r="G110">
        <v>95.99</v>
      </c>
      <c r="I110" t="s">
        <v>13</v>
      </c>
    </row>
    <row r="111" spans="1:9" x14ac:dyDescent="0.35">
      <c r="A111" t="s">
        <v>244</v>
      </c>
      <c r="B111" t="s">
        <v>245</v>
      </c>
      <c r="C111" s="1">
        <v>45321</v>
      </c>
      <c r="D111" t="s">
        <v>11</v>
      </c>
      <c r="E111" t="s">
        <v>16</v>
      </c>
      <c r="F111">
        <v>7</v>
      </c>
      <c r="G111">
        <v>143.54</v>
      </c>
      <c r="H111">
        <v>1004.78</v>
      </c>
      <c r="I111" t="s">
        <v>21</v>
      </c>
    </row>
    <row r="112" spans="1:9" x14ac:dyDescent="0.35">
      <c r="A112" t="s">
        <v>246</v>
      </c>
      <c r="B112" t="s">
        <v>247</v>
      </c>
      <c r="C112" s="1">
        <v>45646</v>
      </c>
      <c r="D112" t="s">
        <v>27</v>
      </c>
      <c r="E112" t="s">
        <v>12</v>
      </c>
      <c r="G112">
        <v>74.38</v>
      </c>
      <c r="I112" t="s">
        <v>17</v>
      </c>
    </row>
    <row r="113" spans="1:9" x14ac:dyDescent="0.35">
      <c r="A113" t="s">
        <v>248</v>
      </c>
      <c r="B113" t="s">
        <v>249</v>
      </c>
      <c r="C113" s="1">
        <v>45771</v>
      </c>
      <c r="D113" t="s">
        <v>27</v>
      </c>
      <c r="E113" t="s">
        <v>12</v>
      </c>
      <c r="F113">
        <v>4</v>
      </c>
      <c r="G113">
        <v>130.19999999999999</v>
      </c>
      <c r="H113">
        <v>520.79999999999995</v>
      </c>
      <c r="I113" t="s">
        <v>17</v>
      </c>
    </row>
    <row r="114" spans="1:9" x14ac:dyDescent="0.35">
      <c r="A114" t="s">
        <v>250</v>
      </c>
      <c r="B114" t="s">
        <v>251</v>
      </c>
      <c r="C114" s="1">
        <v>45429</v>
      </c>
      <c r="D114" t="s">
        <v>37</v>
      </c>
      <c r="E114" t="s">
        <v>12</v>
      </c>
      <c r="G114">
        <v>106.35</v>
      </c>
      <c r="I114" t="s">
        <v>52</v>
      </c>
    </row>
    <row r="115" spans="1:9" x14ac:dyDescent="0.35">
      <c r="A115" t="s">
        <v>252</v>
      </c>
      <c r="B115" t="s">
        <v>253</v>
      </c>
      <c r="C115" s="1">
        <v>45227</v>
      </c>
      <c r="D115" t="s">
        <v>27</v>
      </c>
      <c r="E115" t="s">
        <v>24</v>
      </c>
      <c r="G115">
        <v>67.540000000000006</v>
      </c>
      <c r="I115" t="s">
        <v>17</v>
      </c>
    </row>
    <row r="116" spans="1:9" x14ac:dyDescent="0.35">
      <c r="A116" t="s">
        <v>254</v>
      </c>
      <c r="B116" t="s">
        <v>255</v>
      </c>
      <c r="C116" s="1">
        <v>45195</v>
      </c>
      <c r="D116" t="s">
        <v>34</v>
      </c>
      <c r="E116" t="s">
        <v>16</v>
      </c>
      <c r="G116">
        <v>27.5</v>
      </c>
      <c r="I116" t="s">
        <v>21</v>
      </c>
    </row>
    <row r="117" spans="1:9" x14ac:dyDescent="0.35">
      <c r="A117" t="s">
        <v>256</v>
      </c>
      <c r="B117" t="s">
        <v>257</v>
      </c>
      <c r="C117" s="1">
        <v>45193</v>
      </c>
      <c r="D117" t="s">
        <v>34</v>
      </c>
      <c r="E117" t="s">
        <v>47</v>
      </c>
      <c r="F117">
        <v>7</v>
      </c>
      <c r="G117">
        <v>21.22</v>
      </c>
      <c r="H117">
        <v>148.54</v>
      </c>
      <c r="I117" t="s">
        <v>13</v>
      </c>
    </row>
    <row r="118" spans="1:9" x14ac:dyDescent="0.35">
      <c r="A118" t="s">
        <v>258</v>
      </c>
      <c r="B118" t="s">
        <v>259</v>
      </c>
      <c r="C118" s="1">
        <v>45146</v>
      </c>
      <c r="D118" t="s">
        <v>69</v>
      </c>
      <c r="E118" t="s">
        <v>47</v>
      </c>
      <c r="G118">
        <v>115.91</v>
      </c>
      <c r="I118" t="s">
        <v>31</v>
      </c>
    </row>
    <row r="119" spans="1:9" x14ac:dyDescent="0.35">
      <c r="A119" t="s">
        <v>260</v>
      </c>
      <c r="B119" t="s">
        <v>261</v>
      </c>
      <c r="C119" s="1">
        <v>45164</v>
      </c>
      <c r="D119" t="s">
        <v>11</v>
      </c>
      <c r="E119" t="s">
        <v>47</v>
      </c>
      <c r="G119">
        <v>60.45</v>
      </c>
      <c r="I119" t="s">
        <v>31</v>
      </c>
    </row>
    <row r="120" spans="1:9" x14ac:dyDescent="0.35">
      <c r="A120" t="s">
        <v>262</v>
      </c>
      <c r="B120" t="s">
        <v>263</v>
      </c>
      <c r="C120" s="1">
        <v>45068</v>
      </c>
      <c r="D120" t="s">
        <v>27</v>
      </c>
      <c r="E120" t="s">
        <v>12</v>
      </c>
      <c r="G120">
        <v>104.44</v>
      </c>
      <c r="I120" t="s">
        <v>17</v>
      </c>
    </row>
    <row r="121" spans="1:9" x14ac:dyDescent="0.35">
      <c r="A121" t="s">
        <v>264</v>
      </c>
      <c r="B121" t="s">
        <v>265</v>
      </c>
      <c r="C121" s="1">
        <v>45558</v>
      </c>
      <c r="D121" t="s">
        <v>37</v>
      </c>
      <c r="E121" t="s">
        <v>47</v>
      </c>
      <c r="G121">
        <v>79.48</v>
      </c>
      <c r="I121" t="s">
        <v>13</v>
      </c>
    </row>
    <row r="122" spans="1:9" x14ac:dyDescent="0.35">
      <c r="A122" t="s">
        <v>266</v>
      </c>
      <c r="B122" t="s">
        <v>267</v>
      </c>
      <c r="C122" s="1">
        <v>45215</v>
      </c>
      <c r="D122" t="s">
        <v>11</v>
      </c>
      <c r="E122" t="s">
        <v>24</v>
      </c>
      <c r="G122">
        <v>92.59</v>
      </c>
      <c r="I122" t="s">
        <v>31</v>
      </c>
    </row>
    <row r="123" spans="1:9" x14ac:dyDescent="0.35">
      <c r="A123" t="s">
        <v>268</v>
      </c>
      <c r="B123" t="s">
        <v>269</v>
      </c>
      <c r="C123" s="1">
        <v>45051</v>
      </c>
      <c r="D123" t="s">
        <v>37</v>
      </c>
      <c r="E123" t="s">
        <v>47</v>
      </c>
      <c r="F123">
        <v>9</v>
      </c>
      <c r="G123">
        <v>21.05</v>
      </c>
      <c r="H123">
        <v>189.45</v>
      </c>
      <c r="I123" t="s">
        <v>17</v>
      </c>
    </row>
    <row r="124" spans="1:9" x14ac:dyDescent="0.35">
      <c r="A124" t="s">
        <v>270</v>
      </c>
      <c r="B124" t="s">
        <v>271</v>
      </c>
      <c r="C124" s="1">
        <v>45126</v>
      </c>
      <c r="D124" t="s">
        <v>34</v>
      </c>
      <c r="E124" t="s">
        <v>16</v>
      </c>
      <c r="G124">
        <v>124.21</v>
      </c>
      <c r="I124" t="s">
        <v>13</v>
      </c>
    </row>
    <row r="125" spans="1:9" x14ac:dyDescent="0.35">
      <c r="A125" t="s">
        <v>272</v>
      </c>
      <c r="B125" t="s">
        <v>273</v>
      </c>
      <c r="C125" s="1">
        <v>45457</v>
      </c>
      <c r="D125" t="s">
        <v>34</v>
      </c>
      <c r="E125" t="s">
        <v>12</v>
      </c>
      <c r="F125">
        <v>6</v>
      </c>
      <c r="G125">
        <v>30.75</v>
      </c>
      <c r="H125">
        <v>184.5</v>
      </c>
      <c r="I125" t="s">
        <v>21</v>
      </c>
    </row>
    <row r="126" spans="1:9" x14ac:dyDescent="0.35">
      <c r="A126" t="s">
        <v>274</v>
      </c>
      <c r="B126" t="s">
        <v>275</v>
      </c>
      <c r="C126" s="1">
        <v>45235</v>
      </c>
      <c r="D126" t="s">
        <v>37</v>
      </c>
      <c r="E126" t="s">
        <v>16</v>
      </c>
      <c r="F126">
        <v>4</v>
      </c>
      <c r="G126">
        <v>87.62</v>
      </c>
      <c r="H126">
        <v>350.48</v>
      </c>
      <c r="I126" t="s">
        <v>13</v>
      </c>
    </row>
    <row r="127" spans="1:9" x14ac:dyDescent="0.35">
      <c r="A127" t="s">
        <v>276</v>
      </c>
      <c r="B127" t="s">
        <v>277</v>
      </c>
      <c r="C127" s="1">
        <v>45560</v>
      </c>
      <c r="D127" t="s">
        <v>20</v>
      </c>
      <c r="E127" t="s">
        <v>24</v>
      </c>
      <c r="G127">
        <v>117.75</v>
      </c>
      <c r="I127" t="s">
        <v>38</v>
      </c>
    </row>
    <row r="128" spans="1:9" x14ac:dyDescent="0.35">
      <c r="A128" t="s">
        <v>278</v>
      </c>
      <c r="B128" t="s">
        <v>279</v>
      </c>
      <c r="C128" s="1">
        <v>45511</v>
      </c>
      <c r="D128" t="s">
        <v>20</v>
      </c>
      <c r="E128" t="s">
        <v>24</v>
      </c>
      <c r="G128">
        <v>63.92</v>
      </c>
      <c r="I128" t="s">
        <v>21</v>
      </c>
    </row>
    <row r="129" spans="1:9" x14ac:dyDescent="0.35">
      <c r="A129" t="s">
        <v>280</v>
      </c>
      <c r="B129" t="s">
        <v>281</v>
      </c>
      <c r="C129" s="1">
        <v>45530</v>
      </c>
      <c r="D129" t="s">
        <v>69</v>
      </c>
      <c r="E129" t="s">
        <v>24</v>
      </c>
      <c r="G129">
        <v>102.05</v>
      </c>
      <c r="I129" t="s">
        <v>38</v>
      </c>
    </row>
    <row r="130" spans="1:9" x14ac:dyDescent="0.35">
      <c r="A130" t="s">
        <v>282</v>
      </c>
      <c r="B130" t="s">
        <v>283</v>
      </c>
      <c r="C130" s="1">
        <v>45314</v>
      </c>
      <c r="D130" t="s">
        <v>37</v>
      </c>
      <c r="E130" t="s">
        <v>28</v>
      </c>
      <c r="F130">
        <v>1</v>
      </c>
      <c r="G130">
        <v>81.93</v>
      </c>
      <c r="H130">
        <v>81.93</v>
      </c>
      <c r="I130" t="s">
        <v>21</v>
      </c>
    </row>
    <row r="131" spans="1:9" x14ac:dyDescent="0.35">
      <c r="A131" t="s">
        <v>284</v>
      </c>
      <c r="B131" t="s">
        <v>285</v>
      </c>
      <c r="C131" s="1">
        <v>45053</v>
      </c>
      <c r="D131" t="s">
        <v>20</v>
      </c>
      <c r="E131" t="s">
        <v>24</v>
      </c>
      <c r="G131">
        <v>11.5</v>
      </c>
      <c r="I131" t="s">
        <v>21</v>
      </c>
    </row>
    <row r="132" spans="1:9" x14ac:dyDescent="0.35">
      <c r="A132" t="s">
        <v>286</v>
      </c>
      <c r="B132" t="s">
        <v>287</v>
      </c>
      <c r="C132" s="1">
        <v>45232</v>
      </c>
      <c r="D132" t="s">
        <v>37</v>
      </c>
      <c r="E132" t="s">
        <v>16</v>
      </c>
      <c r="G132">
        <v>114.8</v>
      </c>
      <c r="I132" t="s">
        <v>52</v>
      </c>
    </row>
    <row r="133" spans="1:9" x14ac:dyDescent="0.35">
      <c r="A133" t="s">
        <v>288</v>
      </c>
      <c r="B133" t="s">
        <v>117</v>
      </c>
      <c r="C133" s="1">
        <v>45081</v>
      </c>
      <c r="D133" t="s">
        <v>37</v>
      </c>
      <c r="E133" t="s">
        <v>47</v>
      </c>
      <c r="F133">
        <v>9</v>
      </c>
      <c r="G133">
        <v>22.87</v>
      </c>
      <c r="H133">
        <v>205.83</v>
      </c>
      <c r="I133" t="s">
        <v>38</v>
      </c>
    </row>
    <row r="134" spans="1:9" x14ac:dyDescent="0.35">
      <c r="A134" t="s">
        <v>289</v>
      </c>
      <c r="B134" t="s">
        <v>290</v>
      </c>
      <c r="C134" s="1">
        <v>45058</v>
      </c>
      <c r="D134" t="s">
        <v>11</v>
      </c>
      <c r="E134" t="s">
        <v>28</v>
      </c>
      <c r="G134">
        <v>74.56</v>
      </c>
      <c r="I134" t="s">
        <v>21</v>
      </c>
    </row>
    <row r="135" spans="1:9" x14ac:dyDescent="0.35">
      <c r="A135" t="s">
        <v>291</v>
      </c>
      <c r="B135" t="s">
        <v>292</v>
      </c>
      <c r="C135" s="1">
        <v>45313</v>
      </c>
      <c r="D135" t="s">
        <v>34</v>
      </c>
      <c r="E135" t="s">
        <v>16</v>
      </c>
      <c r="G135">
        <v>173.3</v>
      </c>
      <c r="I135" t="s">
        <v>21</v>
      </c>
    </row>
    <row r="136" spans="1:9" x14ac:dyDescent="0.35">
      <c r="A136" t="s">
        <v>293</v>
      </c>
      <c r="B136" t="s">
        <v>294</v>
      </c>
      <c r="C136" s="1">
        <v>45753</v>
      </c>
      <c r="D136" t="s">
        <v>27</v>
      </c>
      <c r="E136" t="s">
        <v>24</v>
      </c>
      <c r="F136">
        <v>3</v>
      </c>
      <c r="G136">
        <v>184.89</v>
      </c>
      <c r="H136">
        <v>554.66999999999996</v>
      </c>
      <c r="I136" t="s">
        <v>13</v>
      </c>
    </row>
    <row r="137" spans="1:9" x14ac:dyDescent="0.35">
      <c r="A137" t="s">
        <v>295</v>
      </c>
      <c r="B137" t="s">
        <v>296</v>
      </c>
      <c r="C137" s="1">
        <v>45739</v>
      </c>
      <c r="D137" t="s">
        <v>11</v>
      </c>
      <c r="E137" t="s">
        <v>16</v>
      </c>
      <c r="F137">
        <v>7</v>
      </c>
      <c r="G137">
        <v>49.72</v>
      </c>
      <c r="H137">
        <v>348.04</v>
      </c>
      <c r="I137" t="s">
        <v>31</v>
      </c>
    </row>
    <row r="138" spans="1:9" x14ac:dyDescent="0.35">
      <c r="A138" t="s">
        <v>297</v>
      </c>
      <c r="B138" t="s">
        <v>298</v>
      </c>
      <c r="C138" s="1">
        <v>45308</v>
      </c>
      <c r="D138" t="s">
        <v>34</v>
      </c>
      <c r="E138" t="s">
        <v>47</v>
      </c>
      <c r="F138">
        <v>6</v>
      </c>
      <c r="G138">
        <v>190.91</v>
      </c>
      <c r="H138">
        <v>1145.46</v>
      </c>
      <c r="I138" t="s">
        <v>38</v>
      </c>
    </row>
    <row r="139" spans="1:9" x14ac:dyDescent="0.35">
      <c r="A139" t="s">
        <v>299</v>
      </c>
      <c r="B139" t="s">
        <v>300</v>
      </c>
      <c r="C139" s="1">
        <v>45372</v>
      </c>
      <c r="D139" t="s">
        <v>20</v>
      </c>
      <c r="E139" t="s">
        <v>12</v>
      </c>
      <c r="F139">
        <v>8</v>
      </c>
      <c r="G139">
        <v>140.93</v>
      </c>
      <c r="H139">
        <v>1127.44</v>
      </c>
      <c r="I139" t="s">
        <v>17</v>
      </c>
    </row>
    <row r="140" spans="1:9" x14ac:dyDescent="0.35">
      <c r="A140" t="s">
        <v>301</v>
      </c>
      <c r="B140" t="s">
        <v>302</v>
      </c>
      <c r="C140" s="1">
        <v>45120</v>
      </c>
      <c r="D140" t="s">
        <v>27</v>
      </c>
      <c r="E140" t="s">
        <v>24</v>
      </c>
      <c r="G140">
        <v>42.33</v>
      </c>
      <c r="I140" t="s">
        <v>31</v>
      </c>
    </row>
    <row r="141" spans="1:9" x14ac:dyDescent="0.35">
      <c r="A141" t="s">
        <v>303</v>
      </c>
      <c r="B141" t="s">
        <v>304</v>
      </c>
      <c r="C141" s="1">
        <v>45626</v>
      </c>
      <c r="D141" t="s">
        <v>20</v>
      </c>
      <c r="E141" t="s">
        <v>28</v>
      </c>
      <c r="F141">
        <v>5</v>
      </c>
      <c r="G141">
        <v>47.46</v>
      </c>
      <c r="H141">
        <v>237.3</v>
      </c>
      <c r="I141" t="s">
        <v>13</v>
      </c>
    </row>
    <row r="142" spans="1:9" x14ac:dyDescent="0.35">
      <c r="A142" t="s">
        <v>305</v>
      </c>
      <c r="B142" t="s">
        <v>306</v>
      </c>
      <c r="C142" s="1">
        <v>45109</v>
      </c>
      <c r="D142" t="s">
        <v>11</v>
      </c>
      <c r="E142" t="s">
        <v>16</v>
      </c>
      <c r="F142">
        <v>1</v>
      </c>
      <c r="G142">
        <v>85.34</v>
      </c>
      <c r="H142">
        <v>85.34</v>
      </c>
      <c r="I142" t="s">
        <v>17</v>
      </c>
    </row>
    <row r="143" spans="1:9" x14ac:dyDescent="0.35">
      <c r="A143" t="s">
        <v>307</v>
      </c>
      <c r="B143" t="s">
        <v>308</v>
      </c>
      <c r="C143" s="1">
        <v>45702</v>
      </c>
      <c r="D143" t="s">
        <v>34</v>
      </c>
      <c r="E143" t="s">
        <v>12</v>
      </c>
      <c r="G143">
        <v>177.06</v>
      </c>
      <c r="I143" t="s">
        <v>17</v>
      </c>
    </row>
    <row r="144" spans="1:9" x14ac:dyDescent="0.35">
      <c r="A144" t="s">
        <v>309</v>
      </c>
      <c r="B144" t="s">
        <v>310</v>
      </c>
      <c r="C144" s="1">
        <v>45496</v>
      </c>
      <c r="D144" t="s">
        <v>34</v>
      </c>
      <c r="E144" t="s">
        <v>47</v>
      </c>
      <c r="G144">
        <v>199.31</v>
      </c>
      <c r="I144" t="s">
        <v>38</v>
      </c>
    </row>
    <row r="145" spans="1:9" x14ac:dyDescent="0.35">
      <c r="A145" t="s">
        <v>311</v>
      </c>
      <c r="B145" t="s">
        <v>312</v>
      </c>
      <c r="C145" s="1">
        <v>45678</v>
      </c>
      <c r="D145" t="s">
        <v>69</v>
      </c>
      <c r="E145" t="s">
        <v>12</v>
      </c>
      <c r="F145">
        <v>6</v>
      </c>
      <c r="G145">
        <v>176.51</v>
      </c>
      <c r="H145">
        <v>1059.06</v>
      </c>
      <c r="I145" t="s">
        <v>17</v>
      </c>
    </row>
    <row r="146" spans="1:9" x14ac:dyDescent="0.35">
      <c r="A146" t="s">
        <v>313</v>
      </c>
      <c r="B146" t="s">
        <v>314</v>
      </c>
      <c r="C146" s="1">
        <v>45201</v>
      </c>
      <c r="D146" t="s">
        <v>34</v>
      </c>
      <c r="E146" t="s">
        <v>16</v>
      </c>
      <c r="F146">
        <v>8</v>
      </c>
      <c r="G146">
        <v>60.02</v>
      </c>
      <c r="H146">
        <v>480.16</v>
      </c>
      <c r="I146" t="s">
        <v>17</v>
      </c>
    </row>
    <row r="147" spans="1:9" x14ac:dyDescent="0.35">
      <c r="A147" t="s">
        <v>315</v>
      </c>
      <c r="B147" t="s">
        <v>316</v>
      </c>
      <c r="C147" s="1">
        <v>45698</v>
      </c>
      <c r="D147" t="s">
        <v>11</v>
      </c>
      <c r="E147" t="s">
        <v>12</v>
      </c>
      <c r="F147">
        <v>9</v>
      </c>
      <c r="G147">
        <v>54.91</v>
      </c>
      <c r="H147">
        <v>494.19</v>
      </c>
      <c r="I147" t="s">
        <v>52</v>
      </c>
    </row>
    <row r="148" spans="1:9" x14ac:dyDescent="0.35">
      <c r="A148" t="s">
        <v>317</v>
      </c>
      <c r="B148" t="s">
        <v>318</v>
      </c>
      <c r="C148" s="1">
        <v>45625</v>
      </c>
      <c r="D148" t="s">
        <v>27</v>
      </c>
      <c r="E148" t="s">
        <v>28</v>
      </c>
      <c r="G148">
        <v>67.459999999999994</v>
      </c>
      <c r="I148" t="s">
        <v>17</v>
      </c>
    </row>
    <row r="149" spans="1:9" x14ac:dyDescent="0.35">
      <c r="A149" t="s">
        <v>319</v>
      </c>
      <c r="B149" t="s">
        <v>320</v>
      </c>
      <c r="C149" s="1">
        <v>45779</v>
      </c>
      <c r="D149" t="s">
        <v>34</v>
      </c>
      <c r="E149" t="s">
        <v>28</v>
      </c>
      <c r="F149">
        <v>1</v>
      </c>
      <c r="G149">
        <v>74.98</v>
      </c>
      <c r="I149" t="s">
        <v>17</v>
      </c>
    </row>
    <row r="150" spans="1:9" x14ac:dyDescent="0.35">
      <c r="A150" t="s">
        <v>321</v>
      </c>
      <c r="B150" t="s">
        <v>322</v>
      </c>
      <c r="C150" s="1">
        <v>45190</v>
      </c>
      <c r="D150" t="s">
        <v>34</v>
      </c>
      <c r="E150" t="s">
        <v>24</v>
      </c>
      <c r="G150">
        <v>194.61</v>
      </c>
      <c r="I150" t="s">
        <v>31</v>
      </c>
    </row>
    <row r="151" spans="1:9" x14ac:dyDescent="0.35">
      <c r="A151" t="s">
        <v>323</v>
      </c>
      <c r="B151" t="s">
        <v>324</v>
      </c>
      <c r="C151" s="1">
        <v>45721</v>
      </c>
      <c r="D151" t="s">
        <v>20</v>
      </c>
      <c r="E151" t="s">
        <v>16</v>
      </c>
      <c r="F151">
        <v>4</v>
      </c>
      <c r="G151">
        <v>53.55</v>
      </c>
      <c r="H151">
        <v>214.2</v>
      </c>
      <c r="I151" t="s">
        <v>31</v>
      </c>
    </row>
    <row r="152" spans="1:9" x14ac:dyDescent="0.35">
      <c r="A152" t="s">
        <v>325</v>
      </c>
      <c r="B152" t="s">
        <v>326</v>
      </c>
      <c r="C152" s="1">
        <v>45371</v>
      </c>
      <c r="D152" t="s">
        <v>20</v>
      </c>
      <c r="E152" t="s">
        <v>47</v>
      </c>
      <c r="G152">
        <v>83.8</v>
      </c>
      <c r="I152" t="s">
        <v>21</v>
      </c>
    </row>
    <row r="153" spans="1:9" x14ac:dyDescent="0.35">
      <c r="A153" t="s">
        <v>327</v>
      </c>
      <c r="B153" t="s">
        <v>328</v>
      </c>
      <c r="C153" s="1">
        <v>45223</v>
      </c>
      <c r="D153" t="s">
        <v>11</v>
      </c>
      <c r="E153" t="s">
        <v>24</v>
      </c>
      <c r="G153">
        <v>172.19</v>
      </c>
      <c r="I153" t="s">
        <v>52</v>
      </c>
    </row>
    <row r="154" spans="1:9" x14ac:dyDescent="0.35">
      <c r="A154" t="s">
        <v>329</v>
      </c>
      <c r="B154" t="s">
        <v>330</v>
      </c>
      <c r="C154" s="1">
        <v>45212</v>
      </c>
      <c r="D154" t="s">
        <v>20</v>
      </c>
      <c r="E154" t="s">
        <v>12</v>
      </c>
      <c r="F154">
        <v>3</v>
      </c>
      <c r="G154">
        <v>121.79</v>
      </c>
      <c r="H154">
        <v>365.37</v>
      </c>
      <c r="I154" t="s">
        <v>17</v>
      </c>
    </row>
    <row r="155" spans="1:9" x14ac:dyDescent="0.35">
      <c r="A155" t="s">
        <v>331</v>
      </c>
      <c r="B155" t="s">
        <v>332</v>
      </c>
      <c r="C155" s="1">
        <v>45277</v>
      </c>
      <c r="D155" t="s">
        <v>11</v>
      </c>
      <c r="E155" t="s">
        <v>16</v>
      </c>
      <c r="G155">
        <v>24.87</v>
      </c>
      <c r="I155" t="s">
        <v>17</v>
      </c>
    </row>
    <row r="156" spans="1:9" x14ac:dyDescent="0.35">
      <c r="A156" t="s">
        <v>333</v>
      </c>
      <c r="B156" t="s">
        <v>334</v>
      </c>
      <c r="C156" s="1">
        <v>45421</v>
      </c>
      <c r="D156" t="s">
        <v>34</v>
      </c>
      <c r="E156" t="s">
        <v>24</v>
      </c>
      <c r="F156">
        <v>5</v>
      </c>
      <c r="G156">
        <v>51.21</v>
      </c>
      <c r="H156">
        <v>256.05</v>
      </c>
      <c r="I156" t="s">
        <v>21</v>
      </c>
    </row>
    <row r="157" spans="1:9" x14ac:dyDescent="0.35">
      <c r="A157" t="s">
        <v>335</v>
      </c>
      <c r="B157" t="s">
        <v>336</v>
      </c>
      <c r="C157" s="1">
        <v>45751</v>
      </c>
      <c r="D157" t="s">
        <v>11</v>
      </c>
      <c r="E157" t="s">
        <v>28</v>
      </c>
      <c r="F157">
        <v>1</v>
      </c>
      <c r="G157">
        <v>98.2</v>
      </c>
      <c r="H157">
        <v>98.2</v>
      </c>
      <c r="I157" t="s">
        <v>21</v>
      </c>
    </row>
    <row r="158" spans="1:9" x14ac:dyDescent="0.35">
      <c r="A158" t="s">
        <v>337</v>
      </c>
      <c r="B158" t="s">
        <v>338</v>
      </c>
      <c r="C158" s="1">
        <v>45485</v>
      </c>
      <c r="D158" t="s">
        <v>34</v>
      </c>
      <c r="E158" t="s">
        <v>28</v>
      </c>
      <c r="F158">
        <v>8</v>
      </c>
      <c r="G158">
        <v>185.25</v>
      </c>
      <c r="H158">
        <v>1482</v>
      </c>
      <c r="I158" t="s">
        <v>13</v>
      </c>
    </row>
    <row r="159" spans="1:9" x14ac:dyDescent="0.35">
      <c r="A159" t="s">
        <v>339</v>
      </c>
      <c r="B159" t="s">
        <v>340</v>
      </c>
      <c r="C159" s="1">
        <v>45083</v>
      </c>
      <c r="D159" t="s">
        <v>37</v>
      </c>
      <c r="E159" t="s">
        <v>12</v>
      </c>
      <c r="G159">
        <v>148.85</v>
      </c>
      <c r="I159" t="s">
        <v>21</v>
      </c>
    </row>
    <row r="160" spans="1:9" x14ac:dyDescent="0.35">
      <c r="A160" t="s">
        <v>341</v>
      </c>
      <c r="B160" t="s">
        <v>342</v>
      </c>
      <c r="C160" s="1">
        <v>45591</v>
      </c>
      <c r="D160" t="s">
        <v>27</v>
      </c>
      <c r="E160" t="s">
        <v>28</v>
      </c>
      <c r="F160">
        <v>1</v>
      </c>
      <c r="G160">
        <v>15.55</v>
      </c>
      <c r="H160">
        <v>15.55</v>
      </c>
      <c r="I160" t="s">
        <v>17</v>
      </c>
    </row>
    <row r="161" spans="1:9" x14ac:dyDescent="0.35">
      <c r="A161" t="s">
        <v>343</v>
      </c>
      <c r="B161" t="s">
        <v>344</v>
      </c>
      <c r="C161" s="1">
        <v>45623</v>
      </c>
      <c r="D161" t="s">
        <v>34</v>
      </c>
      <c r="E161" t="s">
        <v>16</v>
      </c>
      <c r="G161">
        <v>22.08</v>
      </c>
      <c r="I161" t="s">
        <v>13</v>
      </c>
    </row>
    <row r="162" spans="1:9" x14ac:dyDescent="0.35">
      <c r="A162" t="s">
        <v>345</v>
      </c>
      <c r="B162" t="s">
        <v>346</v>
      </c>
      <c r="C162" s="1">
        <v>45069</v>
      </c>
      <c r="D162" t="s">
        <v>69</v>
      </c>
      <c r="E162" t="s">
        <v>16</v>
      </c>
      <c r="G162">
        <v>160.75</v>
      </c>
      <c r="I162" t="s">
        <v>17</v>
      </c>
    </row>
    <row r="163" spans="1:9" x14ac:dyDescent="0.35">
      <c r="A163" t="s">
        <v>347</v>
      </c>
      <c r="B163" t="s">
        <v>348</v>
      </c>
      <c r="C163" s="1">
        <v>45740</v>
      </c>
      <c r="D163" t="s">
        <v>37</v>
      </c>
      <c r="E163" t="s">
        <v>24</v>
      </c>
      <c r="G163">
        <v>29</v>
      </c>
      <c r="I163" t="s">
        <v>21</v>
      </c>
    </row>
    <row r="164" spans="1:9" x14ac:dyDescent="0.35">
      <c r="A164" t="s">
        <v>349</v>
      </c>
      <c r="B164" t="s">
        <v>350</v>
      </c>
      <c r="C164" s="1">
        <v>45366</v>
      </c>
      <c r="D164" t="s">
        <v>11</v>
      </c>
      <c r="E164" t="s">
        <v>28</v>
      </c>
      <c r="G164">
        <v>183.09</v>
      </c>
      <c r="I164" t="s">
        <v>52</v>
      </c>
    </row>
    <row r="165" spans="1:9" x14ac:dyDescent="0.35">
      <c r="A165" t="s">
        <v>351</v>
      </c>
      <c r="B165" t="s">
        <v>352</v>
      </c>
      <c r="C165" s="1">
        <v>45388</v>
      </c>
      <c r="D165" t="s">
        <v>20</v>
      </c>
      <c r="E165" t="s">
        <v>16</v>
      </c>
      <c r="G165">
        <v>73.900000000000006</v>
      </c>
      <c r="I165" t="s">
        <v>38</v>
      </c>
    </row>
    <row r="166" spans="1:9" x14ac:dyDescent="0.35">
      <c r="A166" t="s">
        <v>353</v>
      </c>
      <c r="B166" t="s">
        <v>354</v>
      </c>
      <c r="C166" s="1">
        <v>45661</v>
      </c>
      <c r="D166" t="s">
        <v>20</v>
      </c>
      <c r="E166" t="s">
        <v>12</v>
      </c>
      <c r="G166">
        <v>24.47</v>
      </c>
      <c r="I166" t="s">
        <v>38</v>
      </c>
    </row>
    <row r="167" spans="1:9" x14ac:dyDescent="0.35">
      <c r="A167" t="s">
        <v>355</v>
      </c>
      <c r="B167" t="s">
        <v>356</v>
      </c>
      <c r="C167" s="1">
        <v>45545</v>
      </c>
      <c r="D167" t="s">
        <v>69</v>
      </c>
      <c r="E167" t="s">
        <v>16</v>
      </c>
      <c r="F167">
        <v>1</v>
      </c>
      <c r="G167">
        <v>153.41</v>
      </c>
      <c r="H167">
        <v>153.41</v>
      </c>
      <c r="I167" t="s">
        <v>31</v>
      </c>
    </row>
    <row r="168" spans="1:9" x14ac:dyDescent="0.35">
      <c r="A168" t="s">
        <v>357</v>
      </c>
      <c r="B168" t="s">
        <v>358</v>
      </c>
      <c r="C168" s="1">
        <v>45487</v>
      </c>
      <c r="D168" t="s">
        <v>20</v>
      </c>
      <c r="E168" t="s">
        <v>28</v>
      </c>
      <c r="G168">
        <v>131.83000000000001</v>
      </c>
      <c r="I168" t="s">
        <v>52</v>
      </c>
    </row>
    <row r="169" spans="1:9" x14ac:dyDescent="0.35">
      <c r="A169" t="s">
        <v>359</v>
      </c>
      <c r="B169" t="s">
        <v>360</v>
      </c>
      <c r="C169" s="1">
        <v>45625</v>
      </c>
      <c r="D169" t="s">
        <v>27</v>
      </c>
      <c r="E169" t="s">
        <v>28</v>
      </c>
      <c r="G169">
        <v>79.010000000000005</v>
      </c>
      <c r="I169" t="s">
        <v>21</v>
      </c>
    </row>
    <row r="170" spans="1:9" x14ac:dyDescent="0.35">
      <c r="A170" t="s">
        <v>361</v>
      </c>
      <c r="B170" t="s">
        <v>362</v>
      </c>
      <c r="C170" s="1">
        <v>45728</v>
      </c>
      <c r="D170" t="s">
        <v>11</v>
      </c>
      <c r="E170" t="s">
        <v>24</v>
      </c>
      <c r="G170">
        <v>59.54</v>
      </c>
      <c r="I170" t="s">
        <v>13</v>
      </c>
    </row>
    <row r="171" spans="1:9" x14ac:dyDescent="0.35">
      <c r="A171" t="s">
        <v>363</v>
      </c>
      <c r="B171" t="s">
        <v>364</v>
      </c>
      <c r="C171" s="1">
        <v>45225</v>
      </c>
      <c r="D171" t="s">
        <v>11</v>
      </c>
      <c r="E171" t="s">
        <v>24</v>
      </c>
      <c r="G171">
        <v>172.24</v>
      </c>
      <c r="I171" t="s">
        <v>17</v>
      </c>
    </row>
    <row r="172" spans="1:9" x14ac:dyDescent="0.35">
      <c r="A172" t="s">
        <v>365</v>
      </c>
      <c r="B172" t="s">
        <v>366</v>
      </c>
      <c r="C172" s="1">
        <v>45382</v>
      </c>
      <c r="D172" t="s">
        <v>27</v>
      </c>
      <c r="E172" t="s">
        <v>47</v>
      </c>
      <c r="G172">
        <v>37.159999999999997</v>
      </c>
      <c r="I172" t="s">
        <v>52</v>
      </c>
    </row>
    <row r="173" spans="1:9" x14ac:dyDescent="0.35">
      <c r="A173" t="s">
        <v>367</v>
      </c>
      <c r="B173" t="s">
        <v>368</v>
      </c>
      <c r="C173" s="1">
        <v>45643</v>
      </c>
      <c r="D173" t="s">
        <v>11</v>
      </c>
      <c r="E173" t="s">
        <v>16</v>
      </c>
      <c r="G173">
        <v>32.21</v>
      </c>
      <c r="I173" t="s">
        <v>38</v>
      </c>
    </row>
    <row r="174" spans="1:9" x14ac:dyDescent="0.35">
      <c r="A174" t="s">
        <v>369</v>
      </c>
      <c r="B174" t="s">
        <v>370</v>
      </c>
      <c r="C174" s="1">
        <v>45415</v>
      </c>
      <c r="D174" t="s">
        <v>11</v>
      </c>
      <c r="E174" t="s">
        <v>28</v>
      </c>
      <c r="F174">
        <v>7</v>
      </c>
      <c r="G174">
        <v>139.96</v>
      </c>
      <c r="I174" t="s">
        <v>52</v>
      </c>
    </row>
    <row r="175" spans="1:9" x14ac:dyDescent="0.35">
      <c r="A175" t="s">
        <v>371</v>
      </c>
      <c r="B175" t="s">
        <v>372</v>
      </c>
      <c r="C175" s="1">
        <v>45495</v>
      </c>
      <c r="D175" t="s">
        <v>27</v>
      </c>
      <c r="E175" t="s">
        <v>16</v>
      </c>
      <c r="G175">
        <v>168.58</v>
      </c>
      <c r="I175" t="s">
        <v>52</v>
      </c>
    </row>
    <row r="176" spans="1:9" x14ac:dyDescent="0.35">
      <c r="A176" t="s">
        <v>373</v>
      </c>
      <c r="B176" t="s">
        <v>374</v>
      </c>
      <c r="C176" s="1">
        <v>45261</v>
      </c>
      <c r="D176" t="s">
        <v>34</v>
      </c>
      <c r="E176" t="s">
        <v>28</v>
      </c>
      <c r="G176">
        <v>154.13</v>
      </c>
      <c r="I176" t="s">
        <v>21</v>
      </c>
    </row>
    <row r="177" spans="1:9" x14ac:dyDescent="0.35">
      <c r="A177" t="s">
        <v>375</v>
      </c>
      <c r="B177" t="s">
        <v>376</v>
      </c>
      <c r="C177" s="1">
        <v>45105</v>
      </c>
      <c r="D177" t="s">
        <v>20</v>
      </c>
      <c r="E177" t="s">
        <v>28</v>
      </c>
      <c r="G177">
        <v>181.96</v>
      </c>
      <c r="I177" t="s">
        <v>38</v>
      </c>
    </row>
    <row r="178" spans="1:9" x14ac:dyDescent="0.35">
      <c r="A178" t="s">
        <v>377</v>
      </c>
      <c r="B178" t="s">
        <v>378</v>
      </c>
      <c r="C178" s="1">
        <v>45616</v>
      </c>
      <c r="D178" t="s">
        <v>20</v>
      </c>
      <c r="E178" t="s">
        <v>12</v>
      </c>
      <c r="F178">
        <v>8</v>
      </c>
      <c r="G178">
        <v>180.12</v>
      </c>
      <c r="H178">
        <v>1440.96</v>
      </c>
      <c r="I178" t="s">
        <v>52</v>
      </c>
    </row>
    <row r="179" spans="1:9" x14ac:dyDescent="0.35">
      <c r="A179" t="s">
        <v>379</v>
      </c>
      <c r="B179" t="s">
        <v>380</v>
      </c>
      <c r="C179" s="1">
        <v>45052</v>
      </c>
      <c r="D179" t="s">
        <v>69</v>
      </c>
      <c r="E179" t="s">
        <v>16</v>
      </c>
      <c r="G179">
        <v>60.21</v>
      </c>
      <c r="I179" t="s">
        <v>13</v>
      </c>
    </row>
    <row r="180" spans="1:9" x14ac:dyDescent="0.35">
      <c r="A180" t="s">
        <v>381</v>
      </c>
      <c r="B180" t="s">
        <v>382</v>
      </c>
      <c r="C180" s="1">
        <v>45705</v>
      </c>
      <c r="D180" t="s">
        <v>34</v>
      </c>
      <c r="E180" t="s">
        <v>28</v>
      </c>
      <c r="G180">
        <v>23.79</v>
      </c>
      <c r="I180" t="s">
        <v>17</v>
      </c>
    </row>
    <row r="181" spans="1:9" x14ac:dyDescent="0.35">
      <c r="A181" t="s">
        <v>383</v>
      </c>
      <c r="B181" t="s">
        <v>384</v>
      </c>
      <c r="C181" s="1">
        <v>45713</v>
      </c>
      <c r="D181" t="s">
        <v>37</v>
      </c>
      <c r="E181" t="s">
        <v>28</v>
      </c>
      <c r="G181">
        <v>125.05</v>
      </c>
      <c r="I181" t="s">
        <v>52</v>
      </c>
    </row>
    <row r="182" spans="1:9" x14ac:dyDescent="0.35">
      <c r="A182" t="s">
        <v>385</v>
      </c>
      <c r="B182" t="s">
        <v>386</v>
      </c>
      <c r="C182" s="1">
        <v>45104</v>
      </c>
      <c r="D182" t="s">
        <v>11</v>
      </c>
      <c r="E182" t="s">
        <v>16</v>
      </c>
      <c r="G182">
        <v>101.06</v>
      </c>
      <c r="I182" t="s">
        <v>52</v>
      </c>
    </row>
    <row r="183" spans="1:9" x14ac:dyDescent="0.35">
      <c r="A183" t="s">
        <v>387</v>
      </c>
      <c r="B183" t="s">
        <v>388</v>
      </c>
      <c r="C183" s="1">
        <v>45211</v>
      </c>
      <c r="D183" t="s">
        <v>27</v>
      </c>
      <c r="E183" t="s">
        <v>24</v>
      </c>
      <c r="G183">
        <v>105.02</v>
      </c>
      <c r="I183" t="s">
        <v>13</v>
      </c>
    </row>
    <row r="184" spans="1:9" x14ac:dyDescent="0.35">
      <c r="A184" t="s">
        <v>389</v>
      </c>
      <c r="B184" t="s">
        <v>390</v>
      </c>
      <c r="C184" s="1">
        <v>45235</v>
      </c>
      <c r="D184" t="s">
        <v>11</v>
      </c>
      <c r="E184" t="s">
        <v>24</v>
      </c>
      <c r="F184">
        <v>1</v>
      </c>
      <c r="G184">
        <v>47.98</v>
      </c>
      <c r="H184">
        <v>47.98</v>
      </c>
      <c r="I184" t="s">
        <v>31</v>
      </c>
    </row>
    <row r="185" spans="1:9" x14ac:dyDescent="0.35">
      <c r="A185" t="s">
        <v>391</v>
      </c>
      <c r="B185" t="s">
        <v>392</v>
      </c>
      <c r="C185" s="1">
        <v>45219</v>
      </c>
      <c r="D185" t="s">
        <v>11</v>
      </c>
      <c r="E185" t="s">
        <v>12</v>
      </c>
      <c r="F185">
        <v>9</v>
      </c>
      <c r="G185">
        <v>163.19</v>
      </c>
      <c r="H185">
        <v>1468.71</v>
      </c>
      <c r="I185" t="s">
        <v>38</v>
      </c>
    </row>
    <row r="186" spans="1:9" x14ac:dyDescent="0.35">
      <c r="A186" t="s">
        <v>393</v>
      </c>
      <c r="B186" t="s">
        <v>394</v>
      </c>
      <c r="C186" s="1">
        <v>45315</v>
      </c>
      <c r="D186" t="s">
        <v>11</v>
      </c>
      <c r="E186" t="s">
        <v>28</v>
      </c>
      <c r="G186">
        <v>127.33</v>
      </c>
      <c r="I186" t="s">
        <v>13</v>
      </c>
    </row>
    <row r="187" spans="1:9" x14ac:dyDescent="0.35">
      <c r="A187" t="s">
        <v>395</v>
      </c>
      <c r="B187" t="s">
        <v>396</v>
      </c>
      <c r="C187" s="1">
        <v>45116</v>
      </c>
      <c r="D187" t="s">
        <v>11</v>
      </c>
      <c r="E187" t="s">
        <v>24</v>
      </c>
      <c r="G187">
        <v>47.36</v>
      </c>
      <c r="I187" t="s">
        <v>21</v>
      </c>
    </row>
    <row r="188" spans="1:9" x14ac:dyDescent="0.35">
      <c r="A188" t="s">
        <v>397</v>
      </c>
      <c r="B188" t="s">
        <v>398</v>
      </c>
      <c r="C188" s="1">
        <v>45704</v>
      </c>
      <c r="D188" t="s">
        <v>69</v>
      </c>
      <c r="E188" t="s">
        <v>16</v>
      </c>
      <c r="F188">
        <v>4</v>
      </c>
      <c r="G188">
        <v>55.6</v>
      </c>
      <c r="H188">
        <v>222.4</v>
      </c>
      <c r="I188" t="s">
        <v>21</v>
      </c>
    </row>
    <row r="189" spans="1:9" x14ac:dyDescent="0.35">
      <c r="A189" t="s">
        <v>399</v>
      </c>
      <c r="B189" t="s">
        <v>400</v>
      </c>
      <c r="C189" s="1">
        <v>45732</v>
      </c>
      <c r="D189" t="s">
        <v>37</v>
      </c>
      <c r="E189" t="s">
        <v>16</v>
      </c>
      <c r="F189">
        <v>4</v>
      </c>
      <c r="G189">
        <v>181.9</v>
      </c>
      <c r="H189">
        <v>727.6</v>
      </c>
      <c r="I189" t="s">
        <v>21</v>
      </c>
    </row>
    <row r="190" spans="1:9" x14ac:dyDescent="0.35">
      <c r="A190" t="s">
        <v>401</v>
      </c>
      <c r="B190" t="s">
        <v>402</v>
      </c>
      <c r="C190" s="1">
        <v>45062</v>
      </c>
      <c r="D190" t="s">
        <v>11</v>
      </c>
      <c r="E190" t="s">
        <v>47</v>
      </c>
      <c r="G190">
        <v>127.23</v>
      </c>
      <c r="I190" t="s">
        <v>52</v>
      </c>
    </row>
    <row r="191" spans="1:9" x14ac:dyDescent="0.35">
      <c r="A191" t="s">
        <v>403</v>
      </c>
      <c r="B191" t="s">
        <v>404</v>
      </c>
      <c r="C191" s="1">
        <v>45288</v>
      </c>
      <c r="D191" t="s">
        <v>34</v>
      </c>
      <c r="E191" t="s">
        <v>16</v>
      </c>
      <c r="F191">
        <v>3</v>
      </c>
      <c r="G191">
        <v>127.96</v>
      </c>
      <c r="I191" t="s">
        <v>21</v>
      </c>
    </row>
    <row r="192" spans="1:9" x14ac:dyDescent="0.35">
      <c r="A192" t="s">
        <v>405</v>
      </c>
      <c r="B192" t="s">
        <v>406</v>
      </c>
      <c r="C192" s="1">
        <v>45525</v>
      </c>
      <c r="D192" t="s">
        <v>27</v>
      </c>
      <c r="E192" t="s">
        <v>12</v>
      </c>
      <c r="G192">
        <v>51.88</v>
      </c>
      <c r="I192" t="s">
        <v>21</v>
      </c>
    </row>
    <row r="193" spans="1:9" x14ac:dyDescent="0.35">
      <c r="A193" t="s">
        <v>407</v>
      </c>
      <c r="B193" t="s">
        <v>408</v>
      </c>
      <c r="C193" s="1">
        <v>45536</v>
      </c>
      <c r="D193" t="s">
        <v>27</v>
      </c>
      <c r="E193" t="s">
        <v>47</v>
      </c>
      <c r="G193">
        <v>34.46</v>
      </c>
      <c r="I193" t="s">
        <v>38</v>
      </c>
    </row>
    <row r="194" spans="1:9" x14ac:dyDescent="0.35">
      <c r="A194" t="s">
        <v>409</v>
      </c>
      <c r="B194" t="s">
        <v>410</v>
      </c>
      <c r="C194" s="1">
        <v>45247</v>
      </c>
      <c r="D194" t="s">
        <v>27</v>
      </c>
      <c r="E194" t="s">
        <v>24</v>
      </c>
      <c r="G194">
        <v>55.54</v>
      </c>
      <c r="I194" t="s">
        <v>13</v>
      </c>
    </row>
    <row r="195" spans="1:9" x14ac:dyDescent="0.35">
      <c r="A195" t="s">
        <v>411</v>
      </c>
      <c r="B195" t="s">
        <v>412</v>
      </c>
      <c r="C195" s="1">
        <v>45193</v>
      </c>
      <c r="D195" t="s">
        <v>34</v>
      </c>
      <c r="E195" t="s">
        <v>28</v>
      </c>
      <c r="G195">
        <v>45.77</v>
      </c>
      <c r="I195" t="s">
        <v>38</v>
      </c>
    </row>
    <row r="196" spans="1:9" x14ac:dyDescent="0.35">
      <c r="A196" t="s">
        <v>413</v>
      </c>
      <c r="B196" t="s">
        <v>414</v>
      </c>
      <c r="C196" s="1">
        <v>45584</v>
      </c>
      <c r="D196" t="s">
        <v>27</v>
      </c>
      <c r="E196" t="s">
        <v>12</v>
      </c>
      <c r="F196">
        <v>9</v>
      </c>
      <c r="G196">
        <v>176.62</v>
      </c>
      <c r="H196">
        <v>1589.58</v>
      </c>
      <c r="I196" t="s">
        <v>13</v>
      </c>
    </row>
    <row r="197" spans="1:9" x14ac:dyDescent="0.35">
      <c r="A197" t="s">
        <v>415</v>
      </c>
      <c r="B197" t="s">
        <v>416</v>
      </c>
      <c r="C197" s="1">
        <v>45321</v>
      </c>
      <c r="D197" t="s">
        <v>37</v>
      </c>
      <c r="E197" t="s">
        <v>16</v>
      </c>
      <c r="F197">
        <v>1</v>
      </c>
      <c r="G197">
        <v>158.72999999999999</v>
      </c>
      <c r="H197">
        <v>158.72999999999999</v>
      </c>
      <c r="I197" t="s">
        <v>17</v>
      </c>
    </row>
    <row r="198" spans="1:9" x14ac:dyDescent="0.35">
      <c r="A198" t="s">
        <v>417</v>
      </c>
      <c r="B198" t="s">
        <v>418</v>
      </c>
      <c r="C198" s="1">
        <v>45261</v>
      </c>
      <c r="D198" t="s">
        <v>27</v>
      </c>
      <c r="E198" t="s">
        <v>24</v>
      </c>
      <c r="F198">
        <v>8</v>
      </c>
      <c r="G198">
        <v>34.85</v>
      </c>
      <c r="H198">
        <v>278.8</v>
      </c>
      <c r="I198" t="s">
        <v>21</v>
      </c>
    </row>
    <row r="199" spans="1:9" x14ac:dyDescent="0.35">
      <c r="A199" t="s">
        <v>419</v>
      </c>
      <c r="B199" t="s">
        <v>420</v>
      </c>
      <c r="C199" s="1">
        <v>45688</v>
      </c>
      <c r="D199" t="s">
        <v>11</v>
      </c>
      <c r="E199" t="s">
        <v>12</v>
      </c>
      <c r="F199">
        <v>7</v>
      </c>
      <c r="G199">
        <v>132.26</v>
      </c>
      <c r="H199">
        <v>925.82</v>
      </c>
      <c r="I199" t="s">
        <v>31</v>
      </c>
    </row>
    <row r="200" spans="1:9" x14ac:dyDescent="0.35">
      <c r="A200" t="s">
        <v>421</v>
      </c>
      <c r="B200" t="s">
        <v>422</v>
      </c>
      <c r="C200" s="1">
        <v>45188</v>
      </c>
      <c r="D200" t="s">
        <v>69</v>
      </c>
      <c r="E200" t="s">
        <v>16</v>
      </c>
      <c r="F200">
        <v>2</v>
      </c>
      <c r="G200">
        <v>162.04</v>
      </c>
      <c r="H200">
        <v>324.08</v>
      </c>
      <c r="I200" t="s">
        <v>13</v>
      </c>
    </row>
    <row r="201" spans="1:9" x14ac:dyDescent="0.35">
      <c r="A201" t="s">
        <v>423</v>
      </c>
      <c r="B201" t="s">
        <v>424</v>
      </c>
      <c r="C201" s="1">
        <v>45061</v>
      </c>
      <c r="D201" t="s">
        <v>34</v>
      </c>
      <c r="E201" t="s">
        <v>47</v>
      </c>
      <c r="F201">
        <v>8</v>
      </c>
      <c r="G201">
        <v>21.29</v>
      </c>
      <c r="H201">
        <v>170.32</v>
      </c>
      <c r="I201" t="s">
        <v>13</v>
      </c>
    </row>
    <row r="202" spans="1:9" x14ac:dyDescent="0.35">
      <c r="A202" t="s">
        <v>425</v>
      </c>
      <c r="B202" t="s">
        <v>426</v>
      </c>
      <c r="C202" s="1">
        <v>45285</v>
      </c>
      <c r="D202" t="s">
        <v>69</v>
      </c>
      <c r="E202" t="s">
        <v>24</v>
      </c>
      <c r="G202">
        <v>89.11</v>
      </c>
      <c r="I202" t="s">
        <v>13</v>
      </c>
    </row>
    <row r="203" spans="1:9" x14ac:dyDescent="0.35">
      <c r="A203" t="s">
        <v>427</v>
      </c>
      <c r="B203" t="s">
        <v>428</v>
      </c>
      <c r="C203" s="1">
        <v>45359</v>
      </c>
      <c r="D203" t="s">
        <v>34</v>
      </c>
      <c r="E203" t="s">
        <v>16</v>
      </c>
      <c r="F203">
        <v>9</v>
      </c>
      <c r="G203">
        <v>112.67</v>
      </c>
      <c r="H203">
        <v>1014.03</v>
      </c>
      <c r="I203" t="s">
        <v>13</v>
      </c>
    </row>
    <row r="204" spans="1:9" x14ac:dyDescent="0.35">
      <c r="A204" t="s">
        <v>429</v>
      </c>
      <c r="B204" t="s">
        <v>430</v>
      </c>
      <c r="C204" s="1">
        <v>45305</v>
      </c>
      <c r="D204" t="s">
        <v>69</v>
      </c>
      <c r="E204" t="s">
        <v>28</v>
      </c>
      <c r="F204">
        <v>9</v>
      </c>
      <c r="G204">
        <v>156.28</v>
      </c>
      <c r="H204">
        <v>1406.52</v>
      </c>
      <c r="I204" t="s">
        <v>31</v>
      </c>
    </row>
    <row r="205" spans="1:9" x14ac:dyDescent="0.35">
      <c r="A205" t="s">
        <v>431</v>
      </c>
      <c r="B205" t="s">
        <v>432</v>
      </c>
      <c r="C205" s="1">
        <v>45660</v>
      </c>
      <c r="D205" t="s">
        <v>34</v>
      </c>
      <c r="E205" t="s">
        <v>12</v>
      </c>
      <c r="F205">
        <v>2</v>
      </c>
      <c r="G205">
        <v>130.5</v>
      </c>
      <c r="H205">
        <v>261</v>
      </c>
      <c r="I205" t="s">
        <v>31</v>
      </c>
    </row>
    <row r="206" spans="1:9" x14ac:dyDescent="0.35">
      <c r="A206" t="s">
        <v>433</v>
      </c>
      <c r="B206" t="s">
        <v>434</v>
      </c>
      <c r="C206" s="1">
        <v>45777</v>
      </c>
      <c r="D206" t="s">
        <v>20</v>
      </c>
      <c r="E206" t="s">
        <v>47</v>
      </c>
      <c r="G206">
        <v>116.95</v>
      </c>
      <c r="I206" t="s">
        <v>21</v>
      </c>
    </row>
    <row r="207" spans="1:9" x14ac:dyDescent="0.35">
      <c r="A207" t="s">
        <v>435</v>
      </c>
      <c r="B207" t="s">
        <v>436</v>
      </c>
      <c r="C207" s="1">
        <v>45545</v>
      </c>
      <c r="D207" t="s">
        <v>20</v>
      </c>
      <c r="E207" t="s">
        <v>28</v>
      </c>
      <c r="G207">
        <v>44.5</v>
      </c>
      <c r="I207" t="s">
        <v>17</v>
      </c>
    </row>
    <row r="208" spans="1:9" x14ac:dyDescent="0.35">
      <c r="A208" t="s">
        <v>437</v>
      </c>
      <c r="B208" t="s">
        <v>438</v>
      </c>
      <c r="C208" s="1">
        <v>45746</v>
      </c>
      <c r="D208" t="s">
        <v>11</v>
      </c>
      <c r="E208" t="s">
        <v>16</v>
      </c>
      <c r="F208">
        <v>7</v>
      </c>
      <c r="G208">
        <v>73.540000000000006</v>
      </c>
      <c r="H208">
        <v>514.78</v>
      </c>
      <c r="I208" t="s">
        <v>31</v>
      </c>
    </row>
    <row r="209" spans="1:9" x14ac:dyDescent="0.35">
      <c r="A209" t="s">
        <v>439</v>
      </c>
      <c r="B209" t="s">
        <v>440</v>
      </c>
      <c r="C209" s="1">
        <v>45606</v>
      </c>
      <c r="D209" t="s">
        <v>69</v>
      </c>
      <c r="E209" t="s">
        <v>24</v>
      </c>
      <c r="F209">
        <v>9</v>
      </c>
      <c r="G209">
        <v>182.1</v>
      </c>
      <c r="H209">
        <v>1638.9</v>
      </c>
      <c r="I209" t="s">
        <v>17</v>
      </c>
    </row>
    <row r="210" spans="1:9" x14ac:dyDescent="0.35">
      <c r="A210" t="s">
        <v>441</v>
      </c>
      <c r="B210" t="s">
        <v>442</v>
      </c>
      <c r="C210" s="1">
        <v>45121</v>
      </c>
      <c r="D210" t="s">
        <v>20</v>
      </c>
      <c r="E210" t="s">
        <v>16</v>
      </c>
      <c r="G210">
        <v>27.01</v>
      </c>
      <c r="I210" t="s">
        <v>17</v>
      </c>
    </row>
    <row r="211" spans="1:9" x14ac:dyDescent="0.35">
      <c r="A211" t="s">
        <v>443</v>
      </c>
      <c r="B211" t="s">
        <v>444</v>
      </c>
      <c r="C211" s="1">
        <v>45540</v>
      </c>
      <c r="D211" t="s">
        <v>34</v>
      </c>
      <c r="E211" t="s">
        <v>24</v>
      </c>
      <c r="F211">
        <v>1</v>
      </c>
      <c r="G211">
        <v>132.46</v>
      </c>
      <c r="H211">
        <v>132.46</v>
      </c>
      <c r="I211" t="s">
        <v>38</v>
      </c>
    </row>
    <row r="212" spans="1:9" x14ac:dyDescent="0.35">
      <c r="A212" t="s">
        <v>445</v>
      </c>
      <c r="B212" t="s">
        <v>446</v>
      </c>
      <c r="C212" s="1">
        <v>45361</v>
      </c>
      <c r="D212" t="s">
        <v>34</v>
      </c>
      <c r="E212" t="s">
        <v>16</v>
      </c>
      <c r="G212">
        <v>66.12</v>
      </c>
      <c r="I212" t="s">
        <v>52</v>
      </c>
    </row>
    <row r="213" spans="1:9" x14ac:dyDescent="0.35">
      <c r="A213" t="s">
        <v>447</v>
      </c>
      <c r="B213" t="s">
        <v>448</v>
      </c>
      <c r="C213" s="1">
        <v>45234</v>
      </c>
      <c r="D213" t="s">
        <v>11</v>
      </c>
      <c r="E213" t="s">
        <v>28</v>
      </c>
      <c r="F213">
        <v>1</v>
      </c>
      <c r="G213">
        <v>76.38</v>
      </c>
      <c r="H213">
        <v>76.38</v>
      </c>
      <c r="I213" t="s">
        <v>21</v>
      </c>
    </row>
    <row r="214" spans="1:9" x14ac:dyDescent="0.35">
      <c r="A214" t="s">
        <v>449</v>
      </c>
      <c r="B214" t="s">
        <v>450</v>
      </c>
      <c r="C214" s="1">
        <v>45686</v>
      </c>
      <c r="D214" t="s">
        <v>11</v>
      </c>
      <c r="E214" t="s">
        <v>28</v>
      </c>
      <c r="G214">
        <v>52.42</v>
      </c>
      <c r="I214" t="s">
        <v>17</v>
      </c>
    </row>
    <row r="215" spans="1:9" x14ac:dyDescent="0.35">
      <c r="A215" t="s">
        <v>451</v>
      </c>
      <c r="B215" t="s">
        <v>452</v>
      </c>
      <c r="C215" s="1">
        <v>45363</v>
      </c>
      <c r="D215" t="s">
        <v>27</v>
      </c>
      <c r="E215" t="s">
        <v>16</v>
      </c>
      <c r="G215">
        <v>91.89</v>
      </c>
      <c r="I215" t="s">
        <v>21</v>
      </c>
    </row>
    <row r="216" spans="1:9" x14ac:dyDescent="0.35">
      <c r="A216" t="s">
        <v>453</v>
      </c>
      <c r="B216" t="s">
        <v>454</v>
      </c>
      <c r="C216" s="1">
        <v>45375</v>
      </c>
      <c r="D216" t="s">
        <v>11</v>
      </c>
      <c r="E216" t="s">
        <v>16</v>
      </c>
      <c r="F216">
        <v>7</v>
      </c>
      <c r="G216">
        <v>57.53</v>
      </c>
      <c r="H216">
        <v>402.71</v>
      </c>
      <c r="I216" t="s">
        <v>21</v>
      </c>
    </row>
    <row r="217" spans="1:9" x14ac:dyDescent="0.35">
      <c r="A217" t="s">
        <v>455</v>
      </c>
      <c r="B217" t="s">
        <v>456</v>
      </c>
      <c r="C217" s="1">
        <v>45760</v>
      </c>
      <c r="D217" t="s">
        <v>34</v>
      </c>
      <c r="E217" t="s">
        <v>24</v>
      </c>
      <c r="G217">
        <v>36.72</v>
      </c>
      <c r="I217" t="s">
        <v>21</v>
      </c>
    </row>
    <row r="218" spans="1:9" x14ac:dyDescent="0.35">
      <c r="A218" t="s">
        <v>457</v>
      </c>
      <c r="B218" t="s">
        <v>458</v>
      </c>
      <c r="C218" s="1">
        <v>45774</v>
      </c>
      <c r="D218" t="s">
        <v>69</v>
      </c>
      <c r="E218" t="s">
        <v>16</v>
      </c>
      <c r="G218">
        <v>87</v>
      </c>
      <c r="I218" t="s">
        <v>21</v>
      </c>
    </row>
    <row r="219" spans="1:9" x14ac:dyDescent="0.35">
      <c r="A219" t="s">
        <v>459</v>
      </c>
      <c r="B219" t="s">
        <v>460</v>
      </c>
      <c r="C219" s="1">
        <v>45631</v>
      </c>
      <c r="D219" t="s">
        <v>37</v>
      </c>
      <c r="E219" t="s">
        <v>12</v>
      </c>
      <c r="G219">
        <v>166.72</v>
      </c>
      <c r="I219" t="s">
        <v>38</v>
      </c>
    </row>
    <row r="220" spans="1:9" x14ac:dyDescent="0.35">
      <c r="A220" t="s">
        <v>461</v>
      </c>
      <c r="B220" t="s">
        <v>462</v>
      </c>
      <c r="C220" s="1">
        <v>45764</v>
      </c>
      <c r="D220" t="s">
        <v>34</v>
      </c>
      <c r="E220" t="s">
        <v>28</v>
      </c>
      <c r="F220">
        <v>3</v>
      </c>
      <c r="G220">
        <v>119.12</v>
      </c>
      <c r="H220">
        <v>357.36</v>
      </c>
      <c r="I220" t="s">
        <v>52</v>
      </c>
    </row>
    <row r="221" spans="1:9" x14ac:dyDescent="0.35">
      <c r="A221" t="s">
        <v>463</v>
      </c>
      <c r="B221" t="s">
        <v>464</v>
      </c>
      <c r="C221" s="1">
        <v>45600</v>
      </c>
      <c r="D221" t="s">
        <v>11</v>
      </c>
      <c r="E221" t="s">
        <v>12</v>
      </c>
      <c r="F221">
        <v>3</v>
      </c>
      <c r="G221">
        <v>84.93</v>
      </c>
      <c r="H221">
        <v>254.79</v>
      </c>
      <c r="I221" t="s">
        <v>21</v>
      </c>
    </row>
    <row r="222" spans="1:9" x14ac:dyDescent="0.35">
      <c r="A222" t="s">
        <v>465</v>
      </c>
      <c r="B222" t="s">
        <v>466</v>
      </c>
      <c r="C222" s="1">
        <v>45598</v>
      </c>
      <c r="D222" t="s">
        <v>69</v>
      </c>
      <c r="E222" t="s">
        <v>28</v>
      </c>
      <c r="G222">
        <v>184.48</v>
      </c>
      <c r="I222" t="s">
        <v>38</v>
      </c>
    </row>
    <row r="223" spans="1:9" x14ac:dyDescent="0.35">
      <c r="A223" t="s">
        <v>467</v>
      </c>
      <c r="B223" t="s">
        <v>468</v>
      </c>
      <c r="C223" s="1">
        <v>45198</v>
      </c>
      <c r="D223" t="s">
        <v>34</v>
      </c>
      <c r="E223" t="s">
        <v>47</v>
      </c>
      <c r="F223">
        <v>8</v>
      </c>
      <c r="G223">
        <v>88.2</v>
      </c>
      <c r="H223">
        <v>705.6</v>
      </c>
      <c r="I223" t="s">
        <v>31</v>
      </c>
    </row>
    <row r="224" spans="1:9" x14ac:dyDescent="0.35">
      <c r="A224" t="s">
        <v>469</v>
      </c>
      <c r="B224" t="s">
        <v>470</v>
      </c>
      <c r="C224" s="1">
        <v>45386</v>
      </c>
      <c r="D224" t="s">
        <v>37</v>
      </c>
      <c r="E224" t="s">
        <v>28</v>
      </c>
      <c r="G224">
        <v>105.1</v>
      </c>
      <c r="I224" t="s">
        <v>52</v>
      </c>
    </row>
    <row r="225" spans="1:9" x14ac:dyDescent="0.35">
      <c r="A225" t="s">
        <v>471</v>
      </c>
      <c r="B225" t="s">
        <v>472</v>
      </c>
      <c r="C225" s="1">
        <v>45623</v>
      </c>
      <c r="D225" t="s">
        <v>27</v>
      </c>
      <c r="E225" t="s">
        <v>28</v>
      </c>
      <c r="G225">
        <v>138.28</v>
      </c>
      <c r="I225" t="s">
        <v>38</v>
      </c>
    </row>
    <row r="226" spans="1:9" x14ac:dyDescent="0.35">
      <c r="A226" t="s">
        <v>473</v>
      </c>
      <c r="B226" t="s">
        <v>474</v>
      </c>
      <c r="C226" s="1">
        <v>45458</v>
      </c>
      <c r="D226" t="s">
        <v>27</v>
      </c>
      <c r="E226" t="s">
        <v>24</v>
      </c>
      <c r="F226">
        <v>1</v>
      </c>
      <c r="G226">
        <v>65.069999999999993</v>
      </c>
      <c r="H226">
        <v>65.069999999999993</v>
      </c>
      <c r="I226" t="s">
        <v>52</v>
      </c>
    </row>
    <row r="227" spans="1:9" x14ac:dyDescent="0.35">
      <c r="A227" t="s">
        <v>475</v>
      </c>
      <c r="B227" t="s">
        <v>476</v>
      </c>
      <c r="C227" s="1">
        <v>45663</v>
      </c>
      <c r="D227" t="s">
        <v>69</v>
      </c>
      <c r="E227" t="s">
        <v>16</v>
      </c>
      <c r="F227">
        <v>8</v>
      </c>
      <c r="G227">
        <v>159.71</v>
      </c>
      <c r="H227">
        <v>1277.68</v>
      </c>
      <c r="I227" t="s">
        <v>13</v>
      </c>
    </row>
    <row r="228" spans="1:9" x14ac:dyDescent="0.35">
      <c r="A228" t="s">
        <v>477</v>
      </c>
      <c r="B228" t="s">
        <v>478</v>
      </c>
      <c r="C228" s="1">
        <v>45455</v>
      </c>
      <c r="D228" t="s">
        <v>34</v>
      </c>
      <c r="E228" t="s">
        <v>47</v>
      </c>
      <c r="F228">
        <v>4</v>
      </c>
      <c r="G228">
        <v>80.599999999999994</v>
      </c>
      <c r="H228">
        <v>322.39999999999998</v>
      </c>
      <c r="I228" t="s">
        <v>52</v>
      </c>
    </row>
    <row r="229" spans="1:9" x14ac:dyDescent="0.35">
      <c r="A229" t="s">
        <v>479</v>
      </c>
      <c r="B229" t="s">
        <v>480</v>
      </c>
      <c r="C229" s="1">
        <v>45665</v>
      </c>
      <c r="D229" t="s">
        <v>11</v>
      </c>
      <c r="E229" t="s">
        <v>47</v>
      </c>
      <c r="G229">
        <v>42.4</v>
      </c>
      <c r="I229" t="s">
        <v>38</v>
      </c>
    </row>
    <row r="230" spans="1:9" x14ac:dyDescent="0.35">
      <c r="A230" t="s">
        <v>481</v>
      </c>
      <c r="B230" t="s">
        <v>482</v>
      </c>
      <c r="C230" s="1">
        <v>45699</v>
      </c>
      <c r="D230" t="s">
        <v>34</v>
      </c>
      <c r="E230" t="s">
        <v>12</v>
      </c>
      <c r="G230">
        <v>106.72</v>
      </c>
      <c r="I230" t="s">
        <v>52</v>
      </c>
    </row>
    <row r="231" spans="1:9" x14ac:dyDescent="0.35">
      <c r="A231" t="s">
        <v>483</v>
      </c>
      <c r="B231" t="s">
        <v>484</v>
      </c>
      <c r="C231" s="1">
        <v>45255</v>
      </c>
      <c r="D231" t="s">
        <v>69</v>
      </c>
      <c r="E231" t="s">
        <v>16</v>
      </c>
      <c r="F231">
        <v>4</v>
      </c>
      <c r="G231">
        <v>18.579999999999998</v>
      </c>
      <c r="H231">
        <v>74.319999999999993</v>
      </c>
      <c r="I231" t="s">
        <v>52</v>
      </c>
    </row>
    <row r="232" spans="1:9" x14ac:dyDescent="0.35">
      <c r="A232" t="s">
        <v>485</v>
      </c>
      <c r="B232" t="s">
        <v>486</v>
      </c>
      <c r="C232" s="1">
        <v>45109</v>
      </c>
      <c r="D232" t="s">
        <v>11</v>
      </c>
      <c r="E232" t="s">
        <v>16</v>
      </c>
      <c r="G232">
        <v>167.17</v>
      </c>
      <c r="I232" t="s">
        <v>17</v>
      </c>
    </row>
    <row r="233" spans="1:9" x14ac:dyDescent="0.35">
      <c r="A233" t="s">
        <v>487</v>
      </c>
      <c r="B233" t="s">
        <v>488</v>
      </c>
      <c r="C233" s="1">
        <v>45369</v>
      </c>
      <c r="D233" t="s">
        <v>69</v>
      </c>
      <c r="E233" t="s">
        <v>24</v>
      </c>
      <c r="G233">
        <v>100.43</v>
      </c>
      <c r="I233" t="s">
        <v>21</v>
      </c>
    </row>
    <row r="234" spans="1:9" x14ac:dyDescent="0.35">
      <c r="A234" t="s">
        <v>489</v>
      </c>
      <c r="B234" t="s">
        <v>490</v>
      </c>
      <c r="C234" s="1">
        <v>45120</v>
      </c>
      <c r="D234" t="s">
        <v>27</v>
      </c>
      <c r="E234" t="s">
        <v>28</v>
      </c>
      <c r="F234">
        <v>4</v>
      </c>
      <c r="G234">
        <v>139.57</v>
      </c>
      <c r="H234">
        <v>558.28</v>
      </c>
      <c r="I234" t="s">
        <v>21</v>
      </c>
    </row>
    <row r="235" spans="1:9" x14ac:dyDescent="0.35">
      <c r="A235" t="s">
        <v>491</v>
      </c>
      <c r="B235" t="s">
        <v>492</v>
      </c>
      <c r="C235" s="1">
        <v>45358</v>
      </c>
      <c r="D235" t="s">
        <v>11</v>
      </c>
      <c r="E235" t="s">
        <v>47</v>
      </c>
      <c r="G235">
        <v>187.71</v>
      </c>
      <c r="I235" t="s">
        <v>13</v>
      </c>
    </row>
    <row r="236" spans="1:9" x14ac:dyDescent="0.35">
      <c r="A236" t="s">
        <v>493</v>
      </c>
      <c r="B236" t="s">
        <v>494</v>
      </c>
      <c r="C236" s="1">
        <v>45054</v>
      </c>
      <c r="D236" t="s">
        <v>20</v>
      </c>
      <c r="E236" t="s">
        <v>16</v>
      </c>
      <c r="G236">
        <v>87.17</v>
      </c>
      <c r="I236" t="s">
        <v>31</v>
      </c>
    </row>
    <row r="237" spans="1:9" x14ac:dyDescent="0.35">
      <c r="A237" t="s">
        <v>495</v>
      </c>
      <c r="B237" t="s">
        <v>496</v>
      </c>
      <c r="C237" s="1">
        <v>45323</v>
      </c>
      <c r="D237" t="s">
        <v>37</v>
      </c>
      <c r="E237" t="s">
        <v>16</v>
      </c>
      <c r="F237">
        <v>3</v>
      </c>
      <c r="G237">
        <v>82.62</v>
      </c>
      <c r="H237">
        <v>247.86</v>
      </c>
      <c r="I237" t="s">
        <v>21</v>
      </c>
    </row>
    <row r="238" spans="1:9" x14ac:dyDescent="0.35">
      <c r="A238" t="s">
        <v>497</v>
      </c>
      <c r="B238" t="s">
        <v>498</v>
      </c>
      <c r="C238" s="1">
        <v>45233</v>
      </c>
      <c r="D238" t="s">
        <v>27</v>
      </c>
      <c r="E238" t="s">
        <v>12</v>
      </c>
      <c r="G238">
        <v>164.44</v>
      </c>
      <c r="I238" t="s">
        <v>38</v>
      </c>
    </row>
    <row r="239" spans="1:9" x14ac:dyDescent="0.35">
      <c r="A239" t="s">
        <v>499</v>
      </c>
      <c r="B239" t="s">
        <v>500</v>
      </c>
      <c r="C239" s="1">
        <v>45497</v>
      </c>
      <c r="D239" t="s">
        <v>69</v>
      </c>
      <c r="E239" t="s">
        <v>12</v>
      </c>
      <c r="G239">
        <v>11.74</v>
      </c>
      <c r="I239" t="s">
        <v>21</v>
      </c>
    </row>
    <row r="240" spans="1:9" x14ac:dyDescent="0.35">
      <c r="A240" t="s">
        <v>501</v>
      </c>
      <c r="B240" t="s">
        <v>502</v>
      </c>
      <c r="C240" s="1">
        <v>45642</v>
      </c>
      <c r="D240" t="s">
        <v>34</v>
      </c>
      <c r="E240" t="s">
        <v>24</v>
      </c>
      <c r="F240">
        <v>2</v>
      </c>
      <c r="G240">
        <v>175.84</v>
      </c>
      <c r="H240">
        <v>351.68</v>
      </c>
      <c r="I240" t="s">
        <v>38</v>
      </c>
    </row>
    <row r="241" spans="1:9" x14ac:dyDescent="0.35">
      <c r="A241" t="s">
        <v>503</v>
      </c>
      <c r="B241" t="s">
        <v>504</v>
      </c>
      <c r="C241" s="1">
        <v>45270</v>
      </c>
      <c r="D241" t="s">
        <v>34</v>
      </c>
      <c r="E241" t="s">
        <v>24</v>
      </c>
      <c r="F241">
        <v>2</v>
      </c>
      <c r="G241">
        <v>49.96</v>
      </c>
      <c r="H241">
        <v>99.92</v>
      </c>
      <c r="I241" t="s">
        <v>52</v>
      </c>
    </row>
    <row r="242" spans="1:9" x14ac:dyDescent="0.35">
      <c r="A242" t="s">
        <v>505</v>
      </c>
      <c r="B242" t="s">
        <v>506</v>
      </c>
      <c r="C242" s="1">
        <v>45381</v>
      </c>
      <c r="D242" t="s">
        <v>69</v>
      </c>
      <c r="E242" t="s">
        <v>47</v>
      </c>
      <c r="G242">
        <v>145.59</v>
      </c>
      <c r="I242" t="s">
        <v>17</v>
      </c>
    </row>
    <row r="243" spans="1:9" x14ac:dyDescent="0.35">
      <c r="A243" t="s">
        <v>507</v>
      </c>
      <c r="B243" t="s">
        <v>508</v>
      </c>
      <c r="C243" s="1">
        <v>45673</v>
      </c>
      <c r="D243" t="s">
        <v>37</v>
      </c>
      <c r="E243" t="s">
        <v>16</v>
      </c>
      <c r="G243">
        <v>164.47</v>
      </c>
      <c r="I243" t="s">
        <v>38</v>
      </c>
    </row>
    <row r="244" spans="1:9" x14ac:dyDescent="0.35">
      <c r="A244" t="s">
        <v>509</v>
      </c>
      <c r="B244" t="s">
        <v>510</v>
      </c>
      <c r="C244" s="1">
        <v>45619</v>
      </c>
      <c r="D244" t="s">
        <v>34</v>
      </c>
      <c r="E244" t="s">
        <v>47</v>
      </c>
      <c r="G244">
        <v>135.11000000000001</v>
      </c>
      <c r="I244" t="s">
        <v>17</v>
      </c>
    </row>
    <row r="245" spans="1:9" x14ac:dyDescent="0.35">
      <c r="A245" t="s">
        <v>511</v>
      </c>
      <c r="B245" t="s">
        <v>512</v>
      </c>
      <c r="C245" s="1">
        <v>45266</v>
      </c>
      <c r="D245" t="s">
        <v>27</v>
      </c>
      <c r="E245" t="s">
        <v>24</v>
      </c>
      <c r="F245">
        <v>4</v>
      </c>
      <c r="G245">
        <v>169.01</v>
      </c>
      <c r="H245">
        <v>676.04</v>
      </c>
      <c r="I245" t="s">
        <v>17</v>
      </c>
    </row>
    <row r="246" spans="1:9" x14ac:dyDescent="0.35">
      <c r="A246" t="s">
        <v>513</v>
      </c>
      <c r="B246" t="s">
        <v>514</v>
      </c>
      <c r="C246" s="1">
        <v>45737</v>
      </c>
      <c r="D246" t="s">
        <v>34</v>
      </c>
      <c r="E246" t="s">
        <v>24</v>
      </c>
      <c r="F246">
        <v>1</v>
      </c>
      <c r="G246">
        <v>53.77</v>
      </c>
      <c r="H246">
        <v>53.77</v>
      </c>
      <c r="I246" t="s">
        <v>13</v>
      </c>
    </row>
    <row r="247" spans="1:9" x14ac:dyDescent="0.35">
      <c r="A247" t="s">
        <v>515</v>
      </c>
      <c r="B247" t="s">
        <v>516</v>
      </c>
      <c r="C247" s="1">
        <v>45051</v>
      </c>
      <c r="D247" t="s">
        <v>27</v>
      </c>
      <c r="E247" t="s">
        <v>24</v>
      </c>
      <c r="F247">
        <v>4</v>
      </c>
      <c r="G247">
        <v>192.8</v>
      </c>
      <c r="H247">
        <v>771.2</v>
      </c>
      <c r="I247" t="s">
        <v>38</v>
      </c>
    </row>
    <row r="248" spans="1:9" x14ac:dyDescent="0.35">
      <c r="A248" t="s">
        <v>517</v>
      </c>
      <c r="B248" t="s">
        <v>518</v>
      </c>
      <c r="C248" s="1">
        <v>45409</v>
      </c>
      <c r="D248" t="s">
        <v>37</v>
      </c>
      <c r="E248" t="s">
        <v>12</v>
      </c>
      <c r="G248">
        <v>80.72</v>
      </c>
      <c r="I248" t="s">
        <v>13</v>
      </c>
    </row>
    <row r="249" spans="1:9" x14ac:dyDescent="0.35">
      <c r="A249" t="s">
        <v>519</v>
      </c>
      <c r="B249" t="s">
        <v>520</v>
      </c>
      <c r="C249" s="1">
        <v>45368</v>
      </c>
      <c r="D249" t="s">
        <v>34</v>
      </c>
      <c r="E249" t="s">
        <v>47</v>
      </c>
      <c r="G249">
        <v>46.25</v>
      </c>
      <c r="I249" t="s">
        <v>52</v>
      </c>
    </row>
    <row r="250" spans="1:9" x14ac:dyDescent="0.35">
      <c r="A250" t="s">
        <v>521</v>
      </c>
      <c r="B250" t="s">
        <v>522</v>
      </c>
      <c r="C250" s="1">
        <v>45356</v>
      </c>
      <c r="D250" t="s">
        <v>11</v>
      </c>
      <c r="E250" t="s">
        <v>24</v>
      </c>
      <c r="F250">
        <v>4</v>
      </c>
      <c r="G250">
        <v>36.19</v>
      </c>
      <c r="H250">
        <v>144.76</v>
      </c>
      <c r="I250" t="s">
        <v>52</v>
      </c>
    </row>
    <row r="251" spans="1:9" x14ac:dyDescent="0.35">
      <c r="A251" t="s">
        <v>523</v>
      </c>
      <c r="B251" t="s">
        <v>524</v>
      </c>
      <c r="C251" s="1">
        <v>45599</v>
      </c>
      <c r="D251" t="s">
        <v>11</v>
      </c>
      <c r="E251" t="s">
        <v>24</v>
      </c>
      <c r="F251">
        <v>8</v>
      </c>
      <c r="G251">
        <v>177.71</v>
      </c>
      <c r="H251">
        <v>1421.68</v>
      </c>
      <c r="I251" t="s">
        <v>21</v>
      </c>
    </row>
    <row r="252" spans="1:9" x14ac:dyDescent="0.35">
      <c r="A252" t="s">
        <v>525</v>
      </c>
      <c r="B252" t="s">
        <v>526</v>
      </c>
      <c r="C252" s="1">
        <v>45573</v>
      </c>
      <c r="D252" t="s">
        <v>37</v>
      </c>
      <c r="E252" t="s">
        <v>12</v>
      </c>
      <c r="F252">
        <v>8</v>
      </c>
      <c r="G252">
        <v>23.73</v>
      </c>
      <c r="H252">
        <v>189.84</v>
      </c>
      <c r="I252" t="s">
        <v>13</v>
      </c>
    </row>
    <row r="253" spans="1:9" x14ac:dyDescent="0.35">
      <c r="A253" t="s">
        <v>527</v>
      </c>
      <c r="B253" t="s">
        <v>528</v>
      </c>
      <c r="C253" s="1">
        <v>45665</v>
      </c>
      <c r="D253" t="s">
        <v>37</v>
      </c>
      <c r="E253" t="s">
        <v>16</v>
      </c>
      <c r="F253">
        <v>7</v>
      </c>
      <c r="G253">
        <v>194.26</v>
      </c>
      <c r="H253">
        <v>1359.82</v>
      </c>
      <c r="I253" t="s">
        <v>17</v>
      </c>
    </row>
    <row r="254" spans="1:9" x14ac:dyDescent="0.35">
      <c r="A254" t="s">
        <v>529</v>
      </c>
      <c r="B254" t="s">
        <v>530</v>
      </c>
      <c r="C254" s="1">
        <v>45620</v>
      </c>
      <c r="D254" t="s">
        <v>20</v>
      </c>
      <c r="E254" t="s">
        <v>28</v>
      </c>
      <c r="F254">
        <v>3</v>
      </c>
      <c r="G254">
        <v>107.78</v>
      </c>
      <c r="H254">
        <v>323.33999999999997</v>
      </c>
      <c r="I254" t="s">
        <v>13</v>
      </c>
    </row>
    <row r="255" spans="1:9" x14ac:dyDescent="0.35">
      <c r="A255" t="s">
        <v>531</v>
      </c>
      <c r="B255" t="s">
        <v>532</v>
      </c>
      <c r="C255" s="1">
        <v>45561</v>
      </c>
      <c r="D255" t="s">
        <v>27</v>
      </c>
      <c r="E255" t="s">
        <v>28</v>
      </c>
      <c r="G255">
        <v>150.78</v>
      </c>
      <c r="I255" t="s">
        <v>52</v>
      </c>
    </row>
    <row r="256" spans="1:9" x14ac:dyDescent="0.35">
      <c r="A256" t="s">
        <v>533</v>
      </c>
      <c r="B256" t="s">
        <v>99</v>
      </c>
      <c r="C256" s="1">
        <v>45145</v>
      </c>
      <c r="D256" t="s">
        <v>11</v>
      </c>
      <c r="E256" t="s">
        <v>16</v>
      </c>
      <c r="G256">
        <v>134.06</v>
      </c>
      <c r="I256" t="s">
        <v>21</v>
      </c>
    </row>
    <row r="257" spans="1:9" x14ac:dyDescent="0.35">
      <c r="A257" t="s">
        <v>534</v>
      </c>
      <c r="B257" t="s">
        <v>535</v>
      </c>
      <c r="C257" s="1">
        <v>45244</v>
      </c>
      <c r="D257" t="s">
        <v>34</v>
      </c>
      <c r="E257" t="s">
        <v>24</v>
      </c>
      <c r="F257">
        <v>3</v>
      </c>
      <c r="G257">
        <v>193.1</v>
      </c>
      <c r="H257">
        <v>579.29999999999995</v>
      </c>
      <c r="I257" t="s">
        <v>52</v>
      </c>
    </row>
    <row r="258" spans="1:9" x14ac:dyDescent="0.35">
      <c r="A258" t="s">
        <v>536</v>
      </c>
      <c r="B258" t="s">
        <v>537</v>
      </c>
      <c r="C258" s="1">
        <v>45452</v>
      </c>
      <c r="D258" t="s">
        <v>11</v>
      </c>
      <c r="E258" t="s">
        <v>12</v>
      </c>
      <c r="G258">
        <v>28.45</v>
      </c>
      <c r="I258" t="s">
        <v>52</v>
      </c>
    </row>
    <row r="259" spans="1:9" x14ac:dyDescent="0.35">
      <c r="A259" t="s">
        <v>538</v>
      </c>
      <c r="B259" t="s">
        <v>539</v>
      </c>
      <c r="C259" s="1">
        <v>45105</v>
      </c>
      <c r="D259" t="s">
        <v>37</v>
      </c>
      <c r="E259" t="s">
        <v>24</v>
      </c>
      <c r="G259">
        <v>53.11</v>
      </c>
      <c r="I259" t="s">
        <v>52</v>
      </c>
    </row>
    <row r="260" spans="1:9" x14ac:dyDescent="0.35">
      <c r="A260" t="s">
        <v>540</v>
      </c>
      <c r="B260" t="s">
        <v>541</v>
      </c>
      <c r="C260" s="1">
        <v>45139</v>
      </c>
      <c r="D260" t="s">
        <v>20</v>
      </c>
      <c r="E260" t="s">
        <v>24</v>
      </c>
      <c r="F260">
        <v>6</v>
      </c>
      <c r="G260">
        <v>175.2</v>
      </c>
      <c r="H260">
        <v>1051.2</v>
      </c>
      <c r="I260" t="s">
        <v>17</v>
      </c>
    </row>
    <row r="261" spans="1:9" x14ac:dyDescent="0.35">
      <c r="A261" t="s">
        <v>542</v>
      </c>
      <c r="B261" t="s">
        <v>543</v>
      </c>
      <c r="C261" s="1">
        <v>45718</v>
      </c>
      <c r="D261" t="s">
        <v>37</v>
      </c>
      <c r="E261" t="s">
        <v>28</v>
      </c>
      <c r="F261">
        <v>6</v>
      </c>
      <c r="G261">
        <v>41.65</v>
      </c>
      <c r="H261">
        <v>249.9</v>
      </c>
      <c r="I261" t="s">
        <v>21</v>
      </c>
    </row>
    <row r="262" spans="1:9" x14ac:dyDescent="0.35">
      <c r="A262" t="s">
        <v>544</v>
      </c>
      <c r="B262" t="s">
        <v>545</v>
      </c>
      <c r="C262" s="1">
        <v>45531</v>
      </c>
      <c r="D262" t="s">
        <v>11</v>
      </c>
      <c r="E262" t="s">
        <v>16</v>
      </c>
      <c r="G262">
        <v>159</v>
      </c>
      <c r="I262" t="s">
        <v>52</v>
      </c>
    </row>
    <row r="263" spans="1:9" x14ac:dyDescent="0.35">
      <c r="A263" t="s">
        <v>546</v>
      </c>
      <c r="B263" t="s">
        <v>547</v>
      </c>
      <c r="C263" s="1">
        <v>45139</v>
      </c>
      <c r="D263" t="s">
        <v>11</v>
      </c>
      <c r="E263" t="s">
        <v>16</v>
      </c>
      <c r="G263">
        <v>191.58</v>
      </c>
      <c r="I263" t="s">
        <v>13</v>
      </c>
    </row>
    <row r="264" spans="1:9" x14ac:dyDescent="0.35">
      <c r="A264" t="s">
        <v>548</v>
      </c>
      <c r="B264" t="s">
        <v>549</v>
      </c>
      <c r="C264" s="1">
        <v>45358</v>
      </c>
      <c r="D264" t="s">
        <v>69</v>
      </c>
      <c r="E264" t="s">
        <v>16</v>
      </c>
      <c r="G264">
        <v>173.39</v>
      </c>
      <c r="I264" t="s">
        <v>31</v>
      </c>
    </row>
    <row r="265" spans="1:9" x14ac:dyDescent="0.35">
      <c r="A265" t="s">
        <v>550</v>
      </c>
      <c r="B265" t="s">
        <v>551</v>
      </c>
      <c r="C265" s="1">
        <v>45689</v>
      </c>
      <c r="D265" t="s">
        <v>11</v>
      </c>
      <c r="E265" t="s">
        <v>12</v>
      </c>
      <c r="G265">
        <v>51.67</v>
      </c>
      <c r="I265" t="s">
        <v>38</v>
      </c>
    </row>
    <row r="266" spans="1:9" x14ac:dyDescent="0.35">
      <c r="A266" t="s">
        <v>552</v>
      </c>
      <c r="B266" t="s">
        <v>553</v>
      </c>
      <c r="C266" s="1">
        <v>45324</v>
      </c>
      <c r="D266" t="s">
        <v>27</v>
      </c>
      <c r="E266" t="s">
        <v>12</v>
      </c>
      <c r="G266">
        <v>96.47</v>
      </c>
      <c r="I266" t="s">
        <v>17</v>
      </c>
    </row>
    <row r="267" spans="1:9" x14ac:dyDescent="0.35">
      <c r="A267" t="s">
        <v>554</v>
      </c>
      <c r="B267" t="s">
        <v>555</v>
      </c>
      <c r="C267" s="1">
        <v>45057</v>
      </c>
      <c r="D267" t="s">
        <v>27</v>
      </c>
      <c r="E267" t="s">
        <v>24</v>
      </c>
      <c r="G267">
        <v>13.62</v>
      </c>
      <c r="I267" t="s">
        <v>17</v>
      </c>
    </row>
    <row r="268" spans="1:9" x14ac:dyDescent="0.35">
      <c r="A268" t="s">
        <v>556</v>
      </c>
      <c r="B268" t="s">
        <v>557</v>
      </c>
      <c r="C268" s="1">
        <v>45579</v>
      </c>
      <c r="D268" t="s">
        <v>20</v>
      </c>
      <c r="E268" t="s">
        <v>12</v>
      </c>
      <c r="G268">
        <v>196.82</v>
      </c>
      <c r="I268" t="s">
        <v>21</v>
      </c>
    </row>
    <row r="269" spans="1:9" x14ac:dyDescent="0.35">
      <c r="A269" t="s">
        <v>558</v>
      </c>
      <c r="B269" t="s">
        <v>559</v>
      </c>
      <c r="C269" s="1">
        <v>45285</v>
      </c>
      <c r="D269" t="s">
        <v>69</v>
      </c>
      <c r="E269" t="s">
        <v>47</v>
      </c>
      <c r="F269">
        <v>1</v>
      </c>
      <c r="G269">
        <v>168.76</v>
      </c>
      <c r="H269">
        <v>168.76</v>
      </c>
      <c r="I269" t="s">
        <v>17</v>
      </c>
    </row>
    <row r="270" spans="1:9" x14ac:dyDescent="0.35">
      <c r="A270" t="s">
        <v>560</v>
      </c>
      <c r="B270" t="s">
        <v>561</v>
      </c>
      <c r="C270" s="1">
        <v>45228</v>
      </c>
      <c r="D270" t="s">
        <v>37</v>
      </c>
      <c r="E270" t="s">
        <v>47</v>
      </c>
      <c r="F270">
        <v>5</v>
      </c>
      <c r="G270">
        <v>57.11</v>
      </c>
      <c r="H270">
        <v>285.55</v>
      </c>
      <c r="I270" t="s">
        <v>31</v>
      </c>
    </row>
    <row r="271" spans="1:9" x14ac:dyDescent="0.35">
      <c r="A271" t="s">
        <v>562</v>
      </c>
      <c r="B271" t="s">
        <v>563</v>
      </c>
      <c r="C271" s="1">
        <v>45563</v>
      </c>
      <c r="D271" t="s">
        <v>34</v>
      </c>
      <c r="E271" t="s">
        <v>28</v>
      </c>
      <c r="G271">
        <v>63.87</v>
      </c>
      <c r="I271" t="s">
        <v>13</v>
      </c>
    </row>
    <row r="272" spans="1:9" x14ac:dyDescent="0.35">
      <c r="A272" t="s">
        <v>564</v>
      </c>
      <c r="B272" t="s">
        <v>565</v>
      </c>
      <c r="C272" s="1">
        <v>45697</v>
      </c>
      <c r="D272" t="s">
        <v>34</v>
      </c>
      <c r="E272" t="s">
        <v>28</v>
      </c>
      <c r="G272">
        <v>52.84</v>
      </c>
      <c r="I272" t="s">
        <v>21</v>
      </c>
    </row>
    <row r="273" spans="1:9" x14ac:dyDescent="0.35">
      <c r="A273" t="s">
        <v>566</v>
      </c>
      <c r="B273" t="s">
        <v>567</v>
      </c>
      <c r="C273" s="1">
        <v>45163</v>
      </c>
      <c r="D273" t="s">
        <v>27</v>
      </c>
      <c r="E273" t="s">
        <v>16</v>
      </c>
      <c r="G273">
        <v>117.65</v>
      </c>
      <c r="I273" t="s">
        <v>38</v>
      </c>
    </row>
    <row r="274" spans="1:9" x14ac:dyDescent="0.35">
      <c r="A274" t="s">
        <v>568</v>
      </c>
      <c r="B274" t="s">
        <v>569</v>
      </c>
      <c r="C274" s="1">
        <v>45213</v>
      </c>
      <c r="D274" t="s">
        <v>34</v>
      </c>
      <c r="E274" t="s">
        <v>47</v>
      </c>
      <c r="F274">
        <v>1</v>
      </c>
      <c r="G274">
        <v>126.48</v>
      </c>
      <c r="H274">
        <v>126.48</v>
      </c>
      <c r="I274" t="s">
        <v>17</v>
      </c>
    </row>
    <row r="275" spans="1:9" x14ac:dyDescent="0.35">
      <c r="A275" t="s">
        <v>570</v>
      </c>
      <c r="B275" t="s">
        <v>571</v>
      </c>
      <c r="C275" s="1">
        <v>45732</v>
      </c>
      <c r="D275" t="s">
        <v>11</v>
      </c>
      <c r="E275" t="s">
        <v>47</v>
      </c>
      <c r="G275">
        <v>135.75</v>
      </c>
      <c r="I275" t="s">
        <v>13</v>
      </c>
    </row>
    <row r="276" spans="1:9" x14ac:dyDescent="0.35">
      <c r="A276" t="s">
        <v>572</v>
      </c>
      <c r="B276" t="s">
        <v>573</v>
      </c>
      <c r="C276" s="1">
        <v>45272</v>
      </c>
      <c r="D276" t="s">
        <v>11</v>
      </c>
      <c r="E276" t="s">
        <v>16</v>
      </c>
      <c r="F276">
        <v>5</v>
      </c>
      <c r="G276">
        <v>21.05</v>
      </c>
      <c r="H276">
        <v>105.25</v>
      </c>
      <c r="I276" t="s">
        <v>38</v>
      </c>
    </row>
    <row r="277" spans="1:9" x14ac:dyDescent="0.35">
      <c r="A277" t="s">
        <v>574</v>
      </c>
      <c r="B277" t="s">
        <v>575</v>
      </c>
      <c r="C277" s="1">
        <v>45756</v>
      </c>
      <c r="D277" t="s">
        <v>37</v>
      </c>
      <c r="E277" t="s">
        <v>16</v>
      </c>
      <c r="G277">
        <v>149.25</v>
      </c>
      <c r="I277" t="s">
        <v>38</v>
      </c>
    </row>
    <row r="278" spans="1:9" x14ac:dyDescent="0.35">
      <c r="A278" t="s">
        <v>576</v>
      </c>
      <c r="B278" t="s">
        <v>577</v>
      </c>
      <c r="C278" s="1">
        <v>45652</v>
      </c>
      <c r="D278" t="s">
        <v>34</v>
      </c>
      <c r="E278" t="s">
        <v>12</v>
      </c>
      <c r="F278">
        <v>3</v>
      </c>
      <c r="G278">
        <v>167.99</v>
      </c>
      <c r="H278">
        <v>503.97</v>
      </c>
      <c r="I278" t="s">
        <v>52</v>
      </c>
    </row>
    <row r="279" spans="1:9" x14ac:dyDescent="0.35">
      <c r="A279" t="s">
        <v>578</v>
      </c>
      <c r="B279" t="s">
        <v>579</v>
      </c>
      <c r="C279" s="1">
        <v>45763</v>
      </c>
      <c r="D279" t="s">
        <v>34</v>
      </c>
      <c r="E279" t="s">
        <v>16</v>
      </c>
      <c r="G279">
        <v>186.23</v>
      </c>
      <c r="I279" t="s">
        <v>52</v>
      </c>
    </row>
    <row r="280" spans="1:9" x14ac:dyDescent="0.35">
      <c r="A280" t="s">
        <v>580</v>
      </c>
      <c r="B280" t="s">
        <v>581</v>
      </c>
      <c r="C280" s="1">
        <v>45712</v>
      </c>
      <c r="D280" t="s">
        <v>11</v>
      </c>
      <c r="E280" t="s">
        <v>47</v>
      </c>
      <c r="F280">
        <v>5</v>
      </c>
      <c r="G280">
        <v>162.63999999999999</v>
      </c>
      <c r="H280">
        <v>813.2</v>
      </c>
      <c r="I280" t="s">
        <v>21</v>
      </c>
    </row>
    <row r="281" spans="1:9" x14ac:dyDescent="0.35">
      <c r="A281" t="s">
        <v>582</v>
      </c>
      <c r="B281" t="s">
        <v>583</v>
      </c>
      <c r="C281" s="1">
        <v>45604</v>
      </c>
      <c r="D281" t="s">
        <v>69</v>
      </c>
      <c r="E281" t="s">
        <v>16</v>
      </c>
      <c r="G281">
        <v>187.11</v>
      </c>
      <c r="I281" t="s">
        <v>21</v>
      </c>
    </row>
    <row r="282" spans="1:9" x14ac:dyDescent="0.35">
      <c r="A282" t="s">
        <v>584</v>
      </c>
      <c r="B282" t="s">
        <v>585</v>
      </c>
      <c r="C282" s="1">
        <v>45123</v>
      </c>
      <c r="D282" t="s">
        <v>11</v>
      </c>
      <c r="E282" t="s">
        <v>47</v>
      </c>
      <c r="F282">
        <v>1</v>
      </c>
      <c r="G282">
        <v>163.1</v>
      </c>
      <c r="H282">
        <v>163.1</v>
      </c>
      <c r="I282" t="s">
        <v>21</v>
      </c>
    </row>
    <row r="283" spans="1:9" x14ac:dyDescent="0.35">
      <c r="A283" t="s">
        <v>586</v>
      </c>
      <c r="B283" t="s">
        <v>587</v>
      </c>
      <c r="C283" s="1">
        <v>45372</v>
      </c>
      <c r="D283" t="s">
        <v>34</v>
      </c>
      <c r="E283" t="s">
        <v>47</v>
      </c>
      <c r="F283">
        <v>5</v>
      </c>
      <c r="G283">
        <v>108.22</v>
      </c>
      <c r="H283">
        <v>541.1</v>
      </c>
      <c r="I283" t="s">
        <v>13</v>
      </c>
    </row>
    <row r="284" spans="1:9" x14ac:dyDescent="0.35">
      <c r="A284" t="s">
        <v>588</v>
      </c>
      <c r="B284" t="s">
        <v>589</v>
      </c>
      <c r="C284" s="1">
        <v>45158</v>
      </c>
      <c r="D284" t="s">
        <v>27</v>
      </c>
      <c r="E284" t="s">
        <v>47</v>
      </c>
      <c r="G284">
        <v>179.73</v>
      </c>
      <c r="I284" t="s">
        <v>31</v>
      </c>
    </row>
    <row r="285" spans="1:9" x14ac:dyDescent="0.35">
      <c r="A285" t="s">
        <v>590</v>
      </c>
      <c r="B285" t="s">
        <v>591</v>
      </c>
      <c r="C285" s="1">
        <v>45237</v>
      </c>
      <c r="D285" t="s">
        <v>37</v>
      </c>
      <c r="E285" t="s">
        <v>47</v>
      </c>
      <c r="G285">
        <v>61.9</v>
      </c>
      <c r="I285" t="s">
        <v>52</v>
      </c>
    </row>
    <row r="286" spans="1:9" x14ac:dyDescent="0.35">
      <c r="A286" t="s">
        <v>592</v>
      </c>
      <c r="B286" t="s">
        <v>593</v>
      </c>
      <c r="C286" s="1">
        <v>45205</v>
      </c>
      <c r="D286" t="s">
        <v>34</v>
      </c>
      <c r="E286" t="s">
        <v>16</v>
      </c>
      <c r="G286">
        <v>25.07</v>
      </c>
      <c r="I286" t="s">
        <v>13</v>
      </c>
    </row>
    <row r="287" spans="1:9" x14ac:dyDescent="0.35">
      <c r="A287" t="s">
        <v>594</v>
      </c>
      <c r="B287" t="s">
        <v>595</v>
      </c>
      <c r="C287" s="1">
        <v>45425</v>
      </c>
      <c r="D287" t="s">
        <v>34</v>
      </c>
      <c r="E287" t="s">
        <v>24</v>
      </c>
      <c r="F287">
        <v>5</v>
      </c>
      <c r="G287">
        <v>82.51</v>
      </c>
      <c r="H287">
        <v>412.55</v>
      </c>
      <c r="I287" t="s">
        <v>21</v>
      </c>
    </row>
    <row r="288" spans="1:9" x14ac:dyDescent="0.35">
      <c r="A288" t="s">
        <v>596</v>
      </c>
      <c r="B288" t="s">
        <v>597</v>
      </c>
      <c r="C288" s="1">
        <v>45321</v>
      </c>
      <c r="D288" t="s">
        <v>20</v>
      </c>
      <c r="E288" t="s">
        <v>28</v>
      </c>
      <c r="F288">
        <v>7</v>
      </c>
      <c r="G288">
        <v>168.75</v>
      </c>
      <c r="I288" t="s">
        <v>21</v>
      </c>
    </row>
    <row r="289" spans="1:9" x14ac:dyDescent="0.35">
      <c r="A289" t="s">
        <v>598</v>
      </c>
      <c r="B289" t="s">
        <v>599</v>
      </c>
      <c r="C289" s="1">
        <v>45235</v>
      </c>
      <c r="D289" t="s">
        <v>37</v>
      </c>
      <c r="E289" t="s">
        <v>16</v>
      </c>
      <c r="F289">
        <v>1</v>
      </c>
      <c r="G289">
        <v>179.47</v>
      </c>
      <c r="H289">
        <v>179.47</v>
      </c>
      <c r="I289" t="s">
        <v>31</v>
      </c>
    </row>
    <row r="290" spans="1:9" x14ac:dyDescent="0.35">
      <c r="A290" t="s">
        <v>600</v>
      </c>
      <c r="B290" t="s">
        <v>601</v>
      </c>
      <c r="C290" s="1">
        <v>45379</v>
      </c>
      <c r="D290" t="s">
        <v>34</v>
      </c>
      <c r="E290" t="s">
        <v>12</v>
      </c>
      <c r="G290">
        <v>58.26</v>
      </c>
      <c r="I290" t="s">
        <v>13</v>
      </c>
    </row>
    <row r="291" spans="1:9" x14ac:dyDescent="0.35">
      <c r="A291" t="s">
        <v>602</v>
      </c>
      <c r="B291" t="s">
        <v>603</v>
      </c>
      <c r="C291" s="1">
        <v>45207</v>
      </c>
      <c r="D291" t="s">
        <v>27</v>
      </c>
      <c r="E291" t="s">
        <v>12</v>
      </c>
      <c r="F291">
        <v>2</v>
      </c>
      <c r="G291">
        <v>166.44</v>
      </c>
      <c r="H291">
        <v>332.88</v>
      </c>
      <c r="I291" t="s">
        <v>52</v>
      </c>
    </row>
    <row r="292" spans="1:9" x14ac:dyDescent="0.35">
      <c r="A292" t="s">
        <v>604</v>
      </c>
      <c r="B292" t="s">
        <v>605</v>
      </c>
      <c r="C292" s="1">
        <v>45574</v>
      </c>
      <c r="D292" t="s">
        <v>27</v>
      </c>
      <c r="E292" t="s">
        <v>12</v>
      </c>
      <c r="G292">
        <v>121.75</v>
      </c>
      <c r="I292" t="s">
        <v>31</v>
      </c>
    </row>
    <row r="293" spans="1:9" x14ac:dyDescent="0.35">
      <c r="A293" t="s">
        <v>606</v>
      </c>
      <c r="B293" t="s">
        <v>607</v>
      </c>
      <c r="C293" s="1">
        <v>45449</v>
      </c>
      <c r="D293" t="s">
        <v>37</v>
      </c>
      <c r="E293" t="s">
        <v>47</v>
      </c>
      <c r="G293">
        <v>24.93</v>
      </c>
      <c r="I293" t="s">
        <v>38</v>
      </c>
    </row>
    <row r="294" spans="1:9" x14ac:dyDescent="0.35">
      <c r="A294" t="s">
        <v>608</v>
      </c>
      <c r="B294" t="s">
        <v>609</v>
      </c>
      <c r="C294" s="1">
        <v>45764</v>
      </c>
      <c r="D294" t="s">
        <v>27</v>
      </c>
      <c r="E294" t="s">
        <v>28</v>
      </c>
      <c r="F294">
        <v>3</v>
      </c>
      <c r="G294">
        <v>110.75</v>
      </c>
      <c r="H294">
        <v>332.25</v>
      </c>
      <c r="I294" t="s">
        <v>17</v>
      </c>
    </row>
    <row r="295" spans="1:9" x14ac:dyDescent="0.35">
      <c r="A295" t="s">
        <v>610</v>
      </c>
      <c r="B295" t="s">
        <v>611</v>
      </c>
      <c r="C295" s="1">
        <v>45392</v>
      </c>
      <c r="D295" t="s">
        <v>37</v>
      </c>
      <c r="E295" t="s">
        <v>24</v>
      </c>
      <c r="F295">
        <v>8</v>
      </c>
      <c r="G295">
        <v>112.7</v>
      </c>
      <c r="H295">
        <v>901.6</v>
      </c>
      <c r="I295" t="s">
        <v>17</v>
      </c>
    </row>
    <row r="296" spans="1:9" x14ac:dyDescent="0.35">
      <c r="A296" t="s">
        <v>612</v>
      </c>
      <c r="B296" t="s">
        <v>613</v>
      </c>
      <c r="C296" s="1">
        <v>45635</v>
      </c>
      <c r="D296" t="s">
        <v>37</v>
      </c>
      <c r="E296" t="s">
        <v>16</v>
      </c>
      <c r="G296">
        <v>117.6</v>
      </c>
      <c r="I296" t="s">
        <v>52</v>
      </c>
    </row>
    <row r="297" spans="1:9" x14ac:dyDescent="0.35">
      <c r="A297" t="s">
        <v>614</v>
      </c>
      <c r="B297" t="s">
        <v>615</v>
      </c>
      <c r="C297" s="1">
        <v>45427</v>
      </c>
      <c r="D297" t="s">
        <v>69</v>
      </c>
      <c r="E297" t="s">
        <v>12</v>
      </c>
      <c r="G297">
        <v>33.42</v>
      </c>
      <c r="I297" t="s">
        <v>21</v>
      </c>
    </row>
    <row r="298" spans="1:9" x14ac:dyDescent="0.35">
      <c r="A298" t="s">
        <v>616</v>
      </c>
      <c r="B298" t="s">
        <v>617</v>
      </c>
      <c r="C298" s="1">
        <v>45729</v>
      </c>
      <c r="D298" t="s">
        <v>34</v>
      </c>
      <c r="E298" t="s">
        <v>12</v>
      </c>
      <c r="F298">
        <v>6</v>
      </c>
      <c r="G298">
        <v>187.2</v>
      </c>
      <c r="H298">
        <v>1123.2</v>
      </c>
      <c r="I298" t="s">
        <v>17</v>
      </c>
    </row>
    <row r="299" spans="1:9" x14ac:dyDescent="0.35">
      <c r="A299" t="s">
        <v>618</v>
      </c>
      <c r="B299" t="s">
        <v>619</v>
      </c>
      <c r="C299" s="1">
        <v>45415</v>
      </c>
      <c r="D299" t="s">
        <v>69</v>
      </c>
      <c r="E299" t="s">
        <v>16</v>
      </c>
      <c r="F299">
        <v>7</v>
      </c>
      <c r="G299">
        <v>60.56</v>
      </c>
      <c r="H299">
        <v>423.92</v>
      </c>
      <c r="I299" t="s">
        <v>21</v>
      </c>
    </row>
    <row r="300" spans="1:9" x14ac:dyDescent="0.35">
      <c r="A300" t="s">
        <v>620</v>
      </c>
      <c r="B300" t="s">
        <v>621</v>
      </c>
      <c r="C300" s="1">
        <v>45711</v>
      </c>
      <c r="D300" t="s">
        <v>69</v>
      </c>
      <c r="E300" t="s">
        <v>47</v>
      </c>
      <c r="G300">
        <v>36.200000000000003</v>
      </c>
      <c r="I300" t="s">
        <v>13</v>
      </c>
    </row>
    <row r="301" spans="1:9" x14ac:dyDescent="0.35">
      <c r="A301" t="s">
        <v>622</v>
      </c>
      <c r="B301" t="s">
        <v>623</v>
      </c>
      <c r="C301" s="1">
        <v>45292</v>
      </c>
      <c r="D301" t="s">
        <v>34</v>
      </c>
      <c r="E301" t="s">
        <v>16</v>
      </c>
      <c r="F301">
        <v>2</v>
      </c>
      <c r="G301">
        <v>38.82</v>
      </c>
      <c r="H301">
        <v>77.64</v>
      </c>
      <c r="I301" t="s">
        <v>17</v>
      </c>
    </row>
    <row r="302" spans="1:9" x14ac:dyDescent="0.35">
      <c r="A302" t="s">
        <v>624</v>
      </c>
      <c r="B302" t="s">
        <v>625</v>
      </c>
      <c r="C302" s="1">
        <v>45777</v>
      </c>
      <c r="D302" t="s">
        <v>20</v>
      </c>
      <c r="E302" t="s">
        <v>24</v>
      </c>
      <c r="F302">
        <v>1</v>
      </c>
      <c r="G302">
        <v>93.05</v>
      </c>
      <c r="H302">
        <v>93.05</v>
      </c>
      <c r="I302" t="s">
        <v>21</v>
      </c>
    </row>
    <row r="303" spans="1:9" x14ac:dyDescent="0.35">
      <c r="A303" t="s">
        <v>626</v>
      </c>
      <c r="B303" t="s">
        <v>627</v>
      </c>
      <c r="C303" s="1">
        <v>45078</v>
      </c>
      <c r="D303" t="s">
        <v>34</v>
      </c>
      <c r="E303" t="s">
        <v>12</v>
      </c>
      <c r="F303">
        <v>8</v>
      </c>
      <c r="G303">
        <v>155.91999999999999</v>
      </c>
      <c r="H303">
        <v>1247.3599999999999</v>
      </c>
      <c r="I303" t="s">
        <v>31</v>
      </c>
    </row>
    <row r="304" spans="1:9" x14ac:dyDescent="0.35">
      <c r="A304" t="s">
        <v>628</v>
      </c>
      <c r="B304" t="s">
        <v>629</v>
      </c>
      <c r="C304" s="1">
        <v>45512</v>
      </c>
      <c r="D304" t="s">
        <v>20</v>
      </c>
      <c r="E304" t="s">
        <v>12</v>
      </c>
      <c r="G304">
        <v>116.17</v>
      </c>
      <c r="I304" t="s">
        <v>21</v>
      </c>
    </row>
    <row r="305" spans="1:9" x14ac:dyDescent="0.35">
      <c r="A305" t="s">
        <v>630</v>
      </c>
      <c r="B305" t="s">
        <v>631</v>
      </c>
      <c r="C305" s="1">
        <v>45769</v>
      </c>
      <c r="D305" t="s">
        <v>11</v>
      </c>
      <c r="E305" t="s">
        <v>47</v>
      </c>
      <c r="F305">
        <v>9</v>
      </c>
      <c r="G305">
        <v>33.43</v>
      </c>
      <c r="H305">
        <v>300.87</v>
      </c>
      <c r="I305" t="s">
        <v>13</v>
      </c>
    </row>
    <row r="306" spans="1:9" x14ac:dyDescent="0.35">
      <c r="A306" t="s">
        <v>632</v>
      </c>
      <c r="B306" t="s">
        <v>633</v>
      </c>
      <c r="C306" s="1">
        <v>45483</v>
      </c>
      <c r="D306" t="s">
        <v>69</v>
      </c>
      <c r="E306" t="s">
        <v>47</v>
      </c>
      <c r="G306">
        <v>66.17</v>
      </c>
      <c r="I306" t="s">
        <v>38</v>
      </c>
    </row>
    <row r="307" spans="1:9" x14ac:dyDescent="0.35">
      <c r="A307" t="s">
        <v>634</v>
      </c>
      <c r="B307" t="s">
        <v>635</v>
      </c>
      <c r="C307" s="1">
        <v>45403</v>
      </c>
      <c r="D307" t="s">
        <v>20</v>
      </c>
      <c r="E307" t="s">
        <v>12</v>
      </c>
      <c r="F307">
        <v>7</v>
      </c>
      <c r="G307">
        <v>192.59</v>
      </c>
      <c r="H307">
        <v>1348.13</v>
      </c>
      <c r="I307" t="s">
        <v>13</v>
      </c>
    </row>
    <row r="308" spans="1:9" x14ac:dyDescent="0.35">
      <c r="A308" t="s">
        <v>636</v>
      </c>
      <c r="B308" t="s">
        <v>637</v>
      </c>
      <c r="C308" s="1">
        <v>45657</v>
      </c>
      <c r="D308" t="s">
        <v>20</v>
      </c>
      <c r="E308" t="s">
        <v>28</v>
      </c>
      <c r="G308">
        <v>159.91999999999999</v>
      </c>
      <c r="I308" t="s">
        <v>38</v>
      </c>
    </row>
    <row r="309" spans="1:9" x14ac:dyDescent="0.35">
      <c r="A309" t="s">
        <v>638</v>
      </c>
      <c r="B309" t="s">
        <v>639</v>
      </c>
      <c r="C309" s="1">
        <v>45386</v>
      </c>
      <c r="D309" t="s">
        <v>34</v>
      </c>
      <c r="E309" t="s">
        <v>47</v>
      </c>
      <c r="F309">
        <v>3</v>
      </c>
      <c r="G309">
        <v>65.2</v>
      </c>
      <c r="I309" t="s">
        <v>38</v>
      </c>
    </row>
    <row r="310" spans="1:9" x14ac:dyDescent="0.35">
      <c r="A310" t="s">
        <v>640</v>
      </c>
      <c r="B310" t="s">
        <v>641</v>
      </c>
      <c r="C310" s="1">
        <v>45167</v>
      </c>
      <c r="D310" t="s">
        <v>11</v>
      </c>
      <c r="E310" t="s">
        <v>28</v>
      </c>
      <c r="F310">
        <v>2</v>
      </c>
      <c r="G310">
        <v>134.71</v>
      </c>
      <c r="H310">
        <v>269.42</v>
      </c>
      <c r="I310" t="s">
        <v>17</v>
      </c>
    </row>
    <row r="311" spans="1:9" x14ac:dyDescent="0.35">
      <c r="A311" t="s">
        <v>642</v>
      </c>
      <c r="B311" t="s">
        <v>643</v>
      </c>
      <c r="C311" s="1">
        <v>45756</v>
      </c>
      <c r="D311" t="s">
        <v>69</v>
      </c>
      <c r="E311" t="s">
        <v>24</v>
      </c>
      <c r="G311">
        <v>59.52</v>
      </c>
      <c r="I311" t="s">
        <v>13</v>
      </c>
    </row>
    <row r="312" spans="1:9" x14ac:dyDescent="0.35">
      <c r="A312" t="s">
        <v>644</v>
      </c>
      <c r="B312" t="s">
        <v>645</v>
      </c>
      <c r="C312" s="1">
        <v>45645</v>
      </c>
      <c r="D312" t="s">
        <v>27</v>
      </c>
      <c r="E312" t="s">
        <v>47</v>
      </c>
      <c r="F312">
        <v>8</v>
      </c>
      <c r="G312">
        <v>124.02</v>
      </c>
      <c r="H312">
        <v>992.16</v>
      </c>
      <c r="I312" t="s">
        <v>13</v>
      </c>
    </row>
    <row r="313" spans="1:9" x14ac:dyDescent="0.35">
      <c r="A313" t="s">
        <v>646</v>
      </c>
      <c r="B313" t="s">
        <v>647</v>
      </c>
      <c r="C313" s="1">
        <v>45176</v>
      </c>
      <c r="D313" t="s">
        <v>11</v>
      </c>
      <c r="E313" t="s">
        <v>28</v>
      </c>
      <c r="F313">
        <v>7</v>
      </c>
      <c r="G313">
        <v>29.66</v>
      </c>
      <c r="H313">
        <v>207.62</v>
      </c>
      <c r="I313" t="s">
        <v>17</v>
      </c>
    </row>
    <row r="314" spans="1:9" x14ac:dyDescent="0.35">
      <c r="A314" t="s">
        <v>648</v>
      </c>
      <c r="B314" t="s">
        <v>649</v>
      </c>
      <c r="C314" s="1">
        <v>45635</v>
      </c>
      <c r="D314" t="s">
        <v>20</v>
      </c>
      <c r="E314" t="s">
        <v>24</v>
      </c>
      <c r="F314">
        <v>9</v>
      </c>
      <c r="G314">
        <v>160.82</v>
      </c>
      <c r="H314">
        <v>1447.38</v>
      </c>
      <c r="I314" t="s">
        <v>21</v>
      </c>
    </row>
    <row r="315" spans="1:9" x14ac:dyDescent="0.35">
      <c r="A315" t="s">
        <v>650</v>
      </c>
      <c r="B315" t="s">
        <v>651</v>
      </c>
      <c r="C315" s="1">
        <v>45090</v>
      </c>
      <c r="D315" t="s">
        <v>69</v>
      </c>
      <c r="E315" t="s">
        <v>47</v>
      </c>
      <c r="G315">
        <v>30.65</v>
      </c>
      <c r="I315" t="s">
        <v>38</v>
      </c>
    </row>
    <row r="316" spans="1:9" x14ac:dyDescent="0.35">
      <c r="A316" t="s">
        <v>652</v>
      </c>
      <c r="B316" t="s">
        <v>653</v>
      </c>
      <c r="C316" s="1">
        <v>45385</v>
      </c>
      <c r="D316" t="s">
        <v>11</v>
      </c>
      <c r="E316" t="s">
        <v>47</v>
      </c>
      <c r="F316">
        <v>4</v>
      </c>
      <c r="G316">
        <v>36.72</v>
      </c>
      <c r="H316">
        <v>146.88</v>
      </c>
      <c r="I316" t="s">
        <v>52</v>
      </c>
    </row>
    <row r="317" spans="1:9" x14ac:dyDescent="0.35">
      <c r="A317" t="s">
        <v>654</v>
      </c>
      <c r="B317" t="s">
        <v>655</v>
      </c>
      <c r="C317" s="1">
        <v>45774</v>
      </c>
      <c r="D317" t="s">
        <v>11</v>
      </c>
      <c r="E317" t="s">
        <v>28</v>
      </c>
      <c r="F317">
        <v>1</v>
      </c>
      <c r="G317">
        <v>34.340000000000003</v>
      </c>
      <c r="H317">
        <v>34.340000000000003</v>
      </c>
      <c r="I317" t="s">
        <v>21</v>
      </c>
    </row>
    <row r="318" spans="1:9" x14ac:dyDescent="0.35">
      <c r="A318" t="s">
        <v>656</v>
      </c>
      <c r="B318" t="s">
        <v>657</v>
      </c>
      <c r="C318" s="1">
        <v>45204</v>
      </c>
      <c r="D318" t="s">
        <v>69</v>
      </c>
      <c r="E318" t="s">
        <v>47</v>
      </c>
      <c r="G318">
        <v>163.44999999999999</v>
      </c>
      <c r="I318" t="s">
        <v>17</v>
      </c>
    </row>
    <row r="319" spans="1:9" x14ac:dyDescent="0.35">
      <c r="A319" t="s">
        <v>658</v>
      </c>
      <c r="B319" t="s">
        <v>659</v>
      </c>
      <c r="C319" s="1">
        <v>45514</v>
      </c>
      <c r="D319" t="s">
        <v>11</v>
      </c>
      <c r="E319" t="s">
        <v>12</v>
      </c>
      <c r="G319">
        <v>40.630000000000003</v>
      </c>
      <c r="I319" t="s">
        <v>13</v>
      </c>
    </row>
    <row r="320" spans="1:9" x14ac:dyDescent="0.35">
      <c r="A320" t="s">
        <v>660</v>
      </c>
      <c r="B320" t="s">
        <v>661</v>
      </c>
      <c r="C320" s="1">
        <v>45731</v>
      </c>
      <c r="D320" t="s">
        <v>27</v>
      </c>
      <c r="E320" t="s">
        <v>24</v>
      </c>
      <c r="G320">
        <v>188.41</v>
      </c>
      <c r="I320" t="s">
        <v>17</v>
      </c>
    </row>
    <row r="321" spans="1:9" x14ac:dyDescent="0.35">
      <c r="A321" t="s">
        <v>662</v>
      </c>
      <c r="B321" t="s">
        <v>663</v>
      </c>
      <c r="C321" s="1">
        <v>45176</v>
      </c>
      <c r="D321" t="s">
        <v>37</v>
      </c>
      <c r="E321" t="s">
        <v>47</v>
      </c>
      <c r="G321">
        <v>10.08</v>
      </c>
      <c r="I321" t="s">
        <v>17</v>
      </c>
    </row>
    <row r="322" spans="1:9" x14ac:dyDescent="0.35">
      <c r="A322" t="s">
        <v>664</v>
      </c>
      <c r="B322" t="s">
        <v>665</v>
      </c>
      <c r="C322" s="1">
        <v>45278</v>
      </c>
      <c r="D322" t="s">
        <v>69</v>
      </c>
      <c r="E322" t="s">
        <v>12</v>
      </c>
      <c r="G322">
        <v>180.26</v>
      </c>
      <c r="I322" t="s">
        <v>31</v>
      </c>
    </row>
    <row r="323" spans="1:9" x14ac:dyDescent="0.35">
      <c r="A323" t="s">
        <v>666</v>
      </c>
      <c r="B323" t="s">
        <v>667</v>
      </c>
      <c r="C323" s="1">
        <v>45391</v>
      </c>
      <c r="D323" t="s">
        <v>69</v>
      </c>
      <c r="E323" t="s">
        <v>12</v>
      </c>
      <c r="G323">
        <v>138.07</v>
      </c>
      <c r="I323" t="s">
        <v>17</v>
      </c>
    </row>
    <row r="324" spans="1:9" x14ac:dyDescent="0.35">
      <c r="A324" t="s">
        <v>668</v>
      </c>
      <c r="B324" t="s">
        <v>669</v>
      </c>
      <c r="C324" s="1">
        <v>45348</v>
      </c>
      <c r="D324" t="s">
        <v>27</v>
      </c>
      <c r="E324" t="s">
        <v>47</v>
      </c>
      <c r="G324">
        <v>166.79</v>
      </c>
      <c r="I324" t="s">
        <v>17</v>
      </c>
    </row>
    <row r="325" spans="1:9" x14ac:dyDescent="0.35">
      <c r="A325" t="s">
        <v>670</v>
      </c>
      <c r="B325" t="s">
        <v>671</v>
      </c>
      <c r="C325" s="1">
        <v>45125</v>
      </c>
      <c r="D325" t="s">
        <v>20</v>
      </c>
      <c r="E325" t="s">
        <v>47</v>
      </c>
      <c r="G325">
        <v>10.55</v>
      </c>
      <c r="I325" t="s">
        <v>38</v>
      </c>
    </row>
    <row r="326" spans="1:9" x14ac:dyDescent="0.35">
      <c r="A326" t="s">
        <v>672</v>
      </c>
      <c r="B326" t="s">
        <v>673</v>
      </c>
      <c r="C326" s="1">
        <v>45604</v>
      </c>
      <c r="D326" t="s">
        <v>34</v>
      </c>
      <c r="E326" t="s">
        <v>24</v>
      </c>
      <c r="G326">
        <v>108.94</v>
      </c>
      <c r="I326" t="s">
        <v>21</v>
      </c>
    </row>
    <row r="327" spans="1:9" x14ac:dyDescent="0.35">
      <c r="A327" t="s">
        <v>674</v>
      </c>
      <c r="B327" t="s">
        <v>675</v>
      </c>
      <c r="C327" s="1">
        <v>45290</v>
      </c>
      <c r="D327" t="s">
        <v>27</v>
      </c>
      <c r="E327" t="s">
        <v>28</v>
      </c>
      <c r="F327">
        <v>6</v>
      </c>
      <c r="G327">
        <v>183.65</v>
      </c>
      <c r="H327">
        <v>1101.9000000000001</v>
      </c>
      <c r="I327" t="s">
        <v>38</v>
      </c>
    </row>
    <row r="328" spans="1:9" x14ac:dyDescent="0.35">
      <c r="A328" t="s">
        <v>676</v>
      </c>
      <c r="B328" t="s">
        <v>677</v>
      </c>
      <c r="C328" s="1">
        <v>45147</v>
      </c>
      <c r="D328" t="s">
        <v>37</v>
      </c>
      <c r="E328" t="s">
        <v>28</v>
      </c>
      <c r="F328">
        <v>6</v>
      </c>
      <c r="G328">
        <v>88.09</v>
      </c>
      <c r="H328">
        <v>528.54</v>
      </c>
      <c r="I328" t="s">
        <v>31</v>
      </c>
    </row>
    <row r="329" spans="1:9" x14ac:dyDescent="0.35">
      <c r="A329" t="s">
        <v>678</v>
      </c>
      <c r="B329" t="s">
        <v>679</v>
      </c>
      <c r="C329" s="1">
        <v>45200</v>
      </c>
      <c r="D329" t="s">
        <v>69</v>
      </c>
      <c r="E329" t="s">
        <v>28</v>
      </c>
      <c r="G329">
        <v>37.9</v>
      </c>
      <c r="I329" t="s">
        <v>52</v>
      </c>
    </row>
    <row r="330" spans="1:9" x14ac:dyDescent="0.35">
      <c r="A330" t="s">
        <v>680</v>
      </c>
      <c r="B330" t="s">
        <v>681</v>
      </c>
      <c r="C330" s="1">
        <v>45754</v>
      </c>
      <c r="D330" t="s">
        <v>69</v>
      </c>
      <c r="E330" t="s">
        <v>24</v>
      </c>
      <c r="F330">
        <v>4</v>
      </c>
      <c r="G330">
        <v>142.46</v>
      </c>
      <c r="H330">
        <v>569.84</v>
      </c>
      <c r="I330" t="s">
        <v>31</v>
      </c>
    </row>
    <row r="331" spans="1:9" x14ac:dyDescent="0.35">
      <c r="A331" t="s">
        <v>682</v>
      </c>
      <c r="B331" t="s">
        <v>683</v>
      </c>
      <c r="C331" s="1">
        <v>45225</v>
      </c>
      <c r="D331" t="s">
        <v>69</v>
      </c>
      <c r="E331" t="s">
        <v>24</v>
      </c>
      <c r="F331">
        <v>6</v>
      </c>
      <c r="G331">
        <v>84.81</v>
      </c>
      <c r="I331" t="s">
        <v>31</v>
      </c>
    </row>
    <row r="332" spans="1:9" x14ac:dyDescent="0.35">
      <c r="A332" t="s">
        <v>684</v>
      </c>
      <c r="B332" t="s">
        <v>685</v>
      </c>
      <c r="C332" s="1">
        <v>45612</v>
      </c>
      <c r="D332" t="s">
        <v>69</v>
      </c>
      <c r="E332" t="s">
        <v>24</v>
      </c>
      <c r="G332">
        <v>160.4</v>
      </c>
      <c r="I332" t="s">
        <v>21</v>
      </c>
    </row>
    <row r="333" spans="1:9" x14ac:dyDescent="0.35">
      <c r="A333" t="s">
        <v>686</v>
      </c>
      <c r="B333" t="s">
        <v>687</v>
      </c>
      <c r="C333" s="1">
        <v>45709</v>
      </c>
      <c r="D333" t="s">
        <v>34</v>
      </c>
      <c r="E333" t="s">
        <v>24</v>
      </c>
      <c r="G333">
        <v>60.73</v>
      </c>
      <c r="I333" t="s">
        <v>38</v>
      </c>
    </row>
    <row r="334" spans="1:9" x14ac:dyDescent="0.35">
      <c r="A334" t="s">
        <v>688</v>
      </c>
      <c r="B334" t="s">
        <v>689</v>
      </c>
      <c r="C334" s="1">
        <v>45494</v>
      </c>
      <c r="D334" t="s">
        <v>11</v>
      </c>
      <c r="E334" t="s">
        <v>16</v>
      </c>
      <c r="F334">
        <v>1</v>
      </c>
      <c r="G334">
        <v>149.18</v>
      </c>
      <c r="H334">
        <v>149.18</v>
      </c>
      <c r="I334" t="s">
        <v>21</v>
      </c>
    </row>
    <row r="335" spans="1:9" x14ac:dyDescent="0.35">
      <c r="A335" t="s">
        <v>690</v>
      </c>
      <c r="B335" t="s">
        <v>691</v>
      </c>
      <c r="C335" s="1">
        <v>45778</v>
      </c>
      <c r="D335" t="s">
        <v>69</v>
      </c>
      <c r="E335" t="s">
        <v>12</v>
      </c>
      <c r="G335">
        <v>31.38</v>
      </c>
      <c r="I335" t="s">
        <v>17</v>
      </c>
    </row>
    <row r="336" spans="1:9" x14ac:dyDescent="0.35">
      <c r="A336" t="s">
        <v>692</v>
      </c>
      <c r="B336" t="s">
        <v>693</v>
      </c>
      <c r="C336" s="1">
        <v>45290</v>
      </c>
      <c r="D336" t="s">
        <v>20</v>
      </c>
      <c r="E336" t="s">
        <v>28</v>
      </c>
      <c r="F336">
        <v>5</v>
      </c>
      <c r="G336">
        <v>167.98</v>
      </c>
      <c r="H336">
        <v>839.9</v>
      </c>
      <c r="I336" t="s">
        <v>38</v>
      </c>
    </row>
    <row r="337" spans="1:9" x14ac:dyDescent="0.35">
      <c r="A337" t="s">
        <v>694</v>
      </c>
      <c r="B337" t="s">
        <v>695</v>
      </c>
      <c r="C337" s="1">
        <v>45319</v>
      </c>
      <c r="D337" t="s">
        <v>20</v>
      </c>
      <c r="E337" t="s">
        <v>12</v>
      </c>
      <c r="G337">
        <v>20.6</v>
      </c>
      <c r="I337" t="s">
        <v>13</v>
      </c>
    </row>
    <row r="338" spans="1:9" x14ac:dyDescent="0.35">
      <c r="A338" t="s">
        <v>696</v>
      </c>
      <c r="B338" t="s">
        <v>697</v>
      </c>
      <c r="C338" s="1">
        <v>45640</v>
      </c>
      <c r="D338" t="s">
        <v>20</v>
      </c>
      <c r="E338" t="s">
        <v>24</v>
      </c>
      <c r="F338">
        <v>7</v>
      </c>
      <c r="G338">
        <v>135.54</v>
      </c>
      <c r="H338">
        <v>948.78</v>
      </c>
      <c r="I338" t="s">
        <v>31</v>
      </c>
    </row>
    <row r="339" spans="1:9" x14ac:dyDescent="0.35">
      <c r="A339" t="s">
        <v>698</v>
      </c>
      <c r="B339" t="s">
        <v>699</v>
      </c>
      <c r="C339" s="1">
        <v>45396</v>
      </c>
      <c r="D339" t="s">
        <v>37</v>
      </c>
      <c r="E339" t="s">
        <v>12</v>
      </c>
      <c r="F339">
        <v>4</v>
      </c>
      <c r="G339">
        <v>108.57</v>
      </c>
      <c r="H339">
        <v>434.28</v>
      </c>
      <c r="I339" t="s">
        <v>31</v>
      </c>
    </row>
    <row r="340" spans="1:9" x14ac:dyDescent="0.35">
      <c r="A340" t="s">
        <v>700</v>
      </c>
      <c r="B340" t="s">
        <v>701</v>
      </c>
      <c r="C340" s="1">
        <v>45778</v>
      </c>
      <c r="D340" t="s">
        <v>34</v>
      </c>
      <c r="E340" t="s">
        <v>24</v>
      </c>
      <c r="F340">
        <v>6</v>
      </c>
      <c r="G340">
        <v>149.28</v>
      </c>
      <c r="H340">
        <v>895.68</v>
      </c>
      <c r="I340" t="s">
        <v>31</v>
      </c>
    </row>
    <row r="341" spans="1:9" x14ac:dyDescent="0.35">
      <c r="A341" t="s">
        <v>702</v>
      </c>
      <c r="B341" t="s">
        <v>703</v>
      </c>
      <c r="C341" s="1">
        <v>45310</v>
      </c>
      <c r="D341" t="s">
        <v>11</v>
      </c>
      <c r="E341" t="s">
        <v>24</v>
      </c>
      <c r="G341">
        <v>141.05000000000001</v>
      </c>
      <c r="I341" t="s">
        <v>17</v>
      </c>
    </row>
    <row r="342" spans="1:9" x14ac:dyDescent="0.35">
      <c r="A342" t="s">
        <v>704</v>
      </c>
      <c r="B342" t="s">
        <v>705</v>
      </c>
      <c r="C342" s="1">
        <v>45562</v>
      </c>
      <c r="D342" t="s">
        <v>20</v>
      </c>
      <c r="E342" t="s">
        <v>24</v>
      </c>
      <c r="G342">
        <v>97.67</v>
      </c>
      <c r="I342" t="s">
        <v>21</v>
      </c>
    </row>
    <row r="343" spans="1:9" x14ac:dyDescent="0.35">
      <c r="A343" t="s">
        <v>706</v>
      </c>
      <c r="B343" t="s">
        <v>707</v>
      </c>
      <c r="C343" s="1">
        <v>45126</v>
      </c>
      <c r="D343" t="s">
        <v>11</v>
      </c>
      <c r="E343" t="s">
        <v>28</v>
      </c>
      <c r="G343">
        <v>125.53</v>
      </c>
      <c r="I343" t="s">
        <v>31</v>
      </c>
    </row>
    <row r="344" spans="1:9" x14ac:dyDescent="0.35">
      <c r="A344" t="s">
        <v>708</v>
      </c>
      <c r="B344" t="s">
        <v>709</v>
      </c>
      <c r="C344" s="1">
        <v>45593</v>
      </c>
      <c r="D344" t="s">
        <v>11</v>
      </c>
      <c r="E344" t="s">
        <v>28</v>
      </c>
      <c r="G344">
        <v>150.18</v>
      </c>
      <c r="I344" t="s">
        <v>31</v>
      </c>
    </row>
    <row r="345" spans="1:9" x14ac:dyDescent="0.35">
      <c r="A345" t="s">
        <v>710</v>
      </c>
      <c r="B345" t="s">
        <v>711</v>
      </c>
      <c r="C345" s="1">
        <v>45499</v>
      </c>
      <c r="D345" t="s">
        <v>20</v>
      </c>
      <c r="E345" t="s">
        <v>16</v>
      </c>
      <c r="F345">
        <v>4</v>
      </c>
      <c r="G345">
        <v>142.55000000000001</v>
      </c>
      <c r="H345">
        <v>570.20000000000005</v>
      </c>
      <c r="I345" t="s">
        <v>38</v>
      </c>
    </row>
    <row r="346" spans="1:9" x14ac:dyDescent="0.35">
      <c r="A346" t="s">
        <v>712</v>
      </c>
      <c r="B346" t="s">
        <v>713</v>
      </c>
      <c r="C346" s="1">
        <v>45061</v>
      </c>
      <c r="D346" t="s">
        <v>27</v>
      </c>
      <c r="E346" t="s">
        <v>47</v>
      </c>
      <c r="G346">
        <v>69.400000000000006</v>
      </c>
      <c r="I346" t="s">
        <v>21</v>
      </c>
    </row>
    <row r="347" spans="1:9" x14ac:dyDescent="0.35">
      <c r="A347" t="s">
        <v>714</v>
      </c>
      <c r="B347" t="s">
        <v>715</v>
      </c>
      <c r="C347" s="1">
        <v>45741</v>
      </c>
      <c r="D347" t="s">
        <v>20</v>
      </c>
      <c r="E347" t="s">
        <v>16</v>
      </c>
      <c r="F347">
        <v>3</v>
      </c>
      <c r="G347">
        <v>197.36</v>
      </c>
      <c r="H347">
        <v>592.08000000000004</v>
      </c>
      <c r="I347" t="s">
        <v>21</v>
      </c>
    </row>
    <row r="348" spans="1:9" x14ac:dyDescent="0.35">
      <c r="A348" t="s">
        <v>716</v>
      </c>
      <c r="B348" t="s">
        <v>717</v>
      </c>
      <c r="C348" s="1">
        <v>45246</v>
      </c>
      <c r="D348" t="s">
        <v>27</v>
      </c>
      <c r="E348" t="s">
        <v>24</v>
      </c>
      <c r="F348">
        <v>1</v>
      </c>
      <c r="G348">
        <v>113.97</v>
      </c>
      <c r="H348">
        <v>113.97</v>
      </c>
      <c r="I348" t="s">
        <v>38</v>
      </c>
    </row>
    <row r="349" spans="1:9" x14ac:dyDescent="0.35">
      <c r="A349" t="s">
        <v>718</v>
      </c>
      <c r="B349" t="s">
        <v>719</v>
      </c>
      <c r="C349" s="1">
        <v>45238</v>
      </c>
      <c r="D349" t="s">
        <v>37</v>
      </c>
      <c r="E349" t="s">
        <v>16</v>
      </c>
      <c r="F349">
        <v>8</v>
      </c>
      <c r="G349">
        <v>180.21</v>
      </c>
      <c r="H349">
        <v>1441.68</v>
      </c>
      <c r="I349" t="s">
        <v>13</v>
      </c>
    </row>
    <row r="350" spans="1:9" x14ac:dyDescent="0.35">
      <c r="A350" t="s">
        <v>720</v>
      </c>
      <c r="B350" t="s">
        <v>721</v>
      </c>
      <c r="C350" s="1">
        <v>45061</v>
      </c>
      <c r="D350" t="s">
        <v>69</v>
      </c>
      <c r="E350" t="s">
        <v>28</v>
      </c>
      <c r="G350">
        <v>38.840000000000003</v>
      </c>
      <c r="I350" t="s">
        <v>21</v>
      </c>
    </row>
    <row r="351" spans="1:9" x14ac:dyDescent="0.35">
      <c r="A351" t="s">
        <v>722</v>
      </c>
      <c r="B351" t="s">
        <v>723</v>
      </c>
      <c r="C351" s="1">
        <v>45124</v>
      </c>
      <c r="D351" t="s">
        <v>37</v>
      </c>
      <c r="E351" t="s">
        <v>12</v>
      </c>
      <c r="F351">
        <v>7</v>
      </c>
      <c r="G351">
        <v>103.17</v>
      </c>
      <c r="H351">
        <v>722.19</v>
      </c>
      <c r="I351" t="s">
        <v>52</v>
      </c>
    </row>
    <row r="352" spans="1:9" x14ac:dyDescent="0.35">
      <c r="A352" t="s">
        <v>724</v>
      </c>
      <c r="B352" t="s">
        <v>725</v>
      </c>
      <c r="C352" s="1">
        <v>45151</v>
      </c>
      <c r="D352" t="s">
        <v>69</v>
      </c>
      <c r="E352" t="s">
        <v>12</v>
      </c>
      <c r="G352">
        <v>175.22</v>
      </c>
      <c r="I352" t="s">
        <v>38</v>
      </c>
    </row>
    <row r="353" spans="1:9" x14ac:dyDescent="0.35">
      <c r="A353" t="s">
        <v>726</v>
      </c>
      <c r="B353" t="s">
        <v>727</v>
      </c>
      <c r="C353" s="1">
        <v>45257</v>
      </c>
      <c r="D353" t="s">
        <v>37</v>
      </c>
      <c r="E353" t="s">
        <v>47</v>
      </c>
      <c r="G353">
        <v>100.78</v>
      </c>
      <c r="I353" t="s">
        <v>21</v>
      </c>
    </row>
    <row r="354" spans="1:9" x14ac:dyDescent="0.35">
      <c r="A354" t="s">
        <v>728</v>
      </c>
      <c r="B354" t="s">
        <v>729</v>
      </c>
      <c r="C354" s="1">
        <v>45297</v>
      </c>
      <c r="D354" t="s">
        <v>20</v>
      </c>
      <c r="E354" t="s">
        <v>47</v>
      </c>
      <c r="G354">
        <v>103.45</v>
      </c>
      <c r="I354" t="s">
        <v>52</v>
      </c>
    </row>
    <row r="355" spans="1:9" x14ac:dyDescent="0.35">
      <c r="A355" t="s">
        <v>730</v>
      </c>
      <c r="B355" t="s">
        <v>731</v>
      </c>
      <c r="C355" s="1">
        <v>45367</v>
      </c>
      <c r="D355" t="s">
        <v>37</v>
      </c>
      <c r="E355" t="s">
        <v>28</v>
      </c>
      <c r="F355">
        <v>9</v>
      </c>
      <c r="G355">
        <v>189.17</v>
      </c>
      <c r="H355">
        <v>1702.53</v>
      </c>
      <c r="I355" t="s">
        <v>52</v>
      </c>
    </row>
    <row r="356" spans="1:9" x14ac:dyDescent="0.35">
      <c r="A356" t="s">
        <v>732</v>
      </c>
      <c r="B356" t="s">
        <v>733</v>
      </c>
      <c r="C356" s="1">
        <v>45323</v>
      </c>
      <c r="D356" t="s">
        <v>27</v>
      </c>
      <c r="E356" t="s">
        <v>24</v>
      </c>
      <c r="F356">
        <v>5</v>
      </c>
      <c r="G356">
        <v>190.71</v>
      </c>
      <c r="H356">
        <v>953.55</v>
      </c>
      <c r="I356" t="s">
        <v>52</v>
      </c>
    </row>
    <row r="357" spans="1:9" x14ac:dyDescent="0.35">
      <c r="A357" t="s">
        <v>734</v>
      </c>
      <c r="B357" t="s">
        <v>735</v>
      </c>
      <c r="C357" s="1">
        <v>45750</v>
      </c>
      <c r="D357" t="s">
        <v>20</v>
      </c>
      <c r="E357" t="s">
        <v>24</v>
      </c>
      <c r="F357">
        <v>1</v>
      </c>
      <c r="G357">
        <v>145.97999999999999</v>
      </c>
      <c r="H357">
        <v>145.97999999999999</v>
      </c>
      <c r="I357" t="s">
        <v>21</v>
      </c>
    </row>
    <row r="358" spans="1:9" x14ac:dyDescent="0.35">
      <c r="A358" t="s">
        <v>736</v>
      </c>
      <c r="B358" t="s">
        <v>737</v>
      </c>
      <c r="C358" s="1">
        <v>45126</v>
      </c>
      <c r="D358" t="s">
        <v>20</v>
      </c>
      <c r="E358" t="s">
        <v>16</v>
      </c>
      <c r="F358">
        <v>1</v>
      </c>
      <c r="G358">
        <v>63.99</v>
      </c>
      <c r="H358">
        <v>63.99</v>
      </c>
      <c r="I358" t="s">
        <v>21</v>
      </c>
    </row>
    <row r="359" spans="1:9" x14ac:dyDescent="0.35">
      <c r="A359" t="s">
        <v>738</v>
      </c>
      <c r="B359" t="s">
        <v>739</v>
      </c>
      <c r="C359" s="1">
        <v>45655</v>
      </c>
      <c r="D359" t="s">
        <v>20</v>
      </c>
      <c r="E359" t="s">
        <v>47</v>
      </c>
      <c r="G359">
        <v>48.85</v>
      </c>
      <c r="I359" t="s">
        <v>17</v>
      </c>
    </row>
    <row r="360" spans="1:9" x14ac:dyDescent="0.35">
      <c r="A360" t="s">
        <v>740</v>
      </c>
      <c r="B360" t="s">
        <v>741</v>
      </c>
      <c r="C360" s="1">
        <v>45587</v>
      </c>
      <c r="D360" t="s">
        <v>11</v>
      </c>
      <c r="E360" t="s">
        <v>16</v>
      </c>
      <c r="G360">
        <v>60.84</v>
      </c>
      <c r="I360" t="s">
        <v>31</v>
      </c>
    </row>
    <row r="361" spans="1:9" x14ac:dyDescent="0.35">
      <c r="A361" t="s">
        <v>742</v>
      </c>
      <c r="B361" t="s">
        <v>743</v>
      </c>
      <c r="C361" s="1">
        <v>45658</v>
      </c>
      <c r="D361" t="s">
        <v>34</v>
      </c>
      <c r="E361" t="s">
        <v>16</v>
      </c>
      <c r="F361">
        <v>9</v>
      </c>
      <c r="G361">
        <v>178.17</v>
      </c>
      <c r="H361">
        <v>1603.53</v>
      </c>
      <c r="I361" t="s">
        <v>17</v>
      </c>
    </row>
    <row r="362" spans="1:9" x14ac:dyDescent="0.35">
      <c r="A362" t="s">
        <v>744</v>
      </c>
      <c r="B362" t="s">
        <v>745</v>
      </c>
      <c r="C362" s="1">
        <v>45359</v>
      </c>
      <c r="D362" t="s">
        <v>11</v>
      </c>
      <c r="E362" t="s">
        <v>28</v>
      </c>
      <c r="G362">
        <v>196.77</v>
      </c>
      <c r="I362" t="s">
        <v>13</v>
      </c>
    </row>
    <row r="363" spans="1:9" x14ac:dyDescent="0.35">
      <c r="A363" t="s">
        <v>746</v>
      </c>
      <c r="B363" t="s">
        <v>747</v>
      </c>
      <c r="C363" s="1">
        <v>45635</v>
      </c>
      <c r="D363" t="s">
        <v>27</v>
      </c>
      <c r="E363" t="s">
        <v>16</v>
      </c>
      <c r="G363">
        <v>89.44</v>
      </c>
      <c r="I363" t="s">
        <v>21</v>
      </c>
    </row>
    <row r="364" spans="1:9" x14ac:dyDescent="0.35">
      <c r="A364" t="s">
        <v>748</v>
      </c>
      <c r="B364" t="s">
        <v>749</v>
      </c>
      <c r="C364" s="1">
        <v>45680</v>
      </c>
      <c r="D364" t="s">
        <v>37</v>
      </c>
      <c r="E364" t="s">
        <v>24</v>
      </c>
      <c r="G364">
        <v>119.85</v>
      </c>
      <c r="I364" t="s">
        <v>31</v>
      </c>
    </row>
    <row r="365" spans="1:9" x14ac:dyDescent="0.35">
      <c r="A365" t="s">
        <v>750</v>
      </c>
      <c r="B365" t="s">
        <v>751</v>
      </c>
      <c r="C365" s="1">
        <v>45338</v>
      </c>
      <c r="D365" t="s">
        <v>27</v>
      </c>
      <c r="E365" t="s">
        <v>16</v>
      </c>
      <c r="F365">
        <v>7</v>
      </c>
      <c r="G365">
        <v>121</v>
      </c>
      <c r="H365">
        <v>847</v>
      </c>
      <c r="I365" t="s">
        <v>17</v>
      </c>
    </row>
    <row r="366" spans="1:9" x14ac:dyDescent="0.35">
      <c r="A366" t="s">
        <v>752</v>
      </c>
      <c r="B366" t="s">
        <v>753</v>
      </c>
      <c r="C366" s="1">
        <v>45677</v>
      </c>
      <c r="D366" t="s">
        <v>27</v>
      </c>
      <c r="E366" t="s">
        <v>47</v>
      </c>
      <c r="G366">
        <v>58.81</v>
      </c>
      <c r="I366" t="s">
        <v>52</v>
      </c>
    </row>
    <row r="367" spans="1:9" x14ac:dyDescent="0.35">
      <c r="A367" t="s">
        <v>754</v>
      </c>
      <c r="B367" t="s">
        <v>755</v>
      </c>
      <c r="C367" s="1">
        <v>45305</v>
      </c>
      <c r="D367" t="s">
        <v>34</v>
      </c>
      <c r="E367" t="s">
        <v>24</v>
      </c>
      <c r="F367">
        <v>6</v>
      </c>
      <c r="G367">
        <v>77.72</v>
      </c>
      <c r="H367">
        <v>466.32</v>
      </c>
      <c r="I367" t="s">
        <v>31</v>
      </c>
    </row>
    <row r="368" spans="1:9" x14ac:dyDescent="0.35">
      <c r="A368" t="s">
        <v>756</v>
      </c>
      <c r="B368" t="s">
        <v>757</v>
      </c>
      <c r="C368" s="1">
        <v>45740</v>
      </c>
      <c r="D368" t="s">
        <v>37</v>
      </c>
      <c r="E368" t="s">
        <v>47</v>
      </c>
      <c r="F368">
        <v>7</v>
      </c>
      <c r="G368">
        <v>196.42</v>
      </c>
      <c r="H368">
        <v>1374.94</v>
      </c>
      <c r="I368" t="s">
        <v>31</v>
      </c>
    </row>
    <row r="369" spans="1:9" x14ac:dyDescent="0.35">
      <c r="A369" t="s">
        <v>758</v>
      </c>
      <c r="B369" t="s">
        <v>759</v>
      </c>
      <c r="C369" s="1">
        <v>45748</v>
      </c>
      <c r="D369" t="s">
        <v>20</v>
      </c>
      <c r="E369" t="s">
        <v>12</v>
      </c>
      <c r="F369">
        <v>3</v>
      </c>
      <c r="G369">
        <v>122.1</v>
      </c>
      <c r="H369">
        <v>366.3</v>
      </c>
      <c r="I369" t="s">
        <v>31</v>
      </c>
    </row>
    <row r="370" spans="1:9" x14ac:dyDescent="0.35">
      <c r="A370" t="s">
        <v>760</v>
      </c>
      <c r="B370" t="s">
        <v>761</v>
      </c>
      <c r="C370" s="1">
        <v>45065</v>
      </c>
      <c r="D370" t="s">
        <v>27</v>
      </c>
      <c r="E370" t="s">
        <v>47</v>
      </c>
      <c r="F370">
        <v>3</v>
      </c>
      <c r="G370">
        <v>55.84</v>
      </c>
      <c r="I370" t="s">
        <v>17</v>
      </c>
    </row>
    <row r="371" spans="1:9" x14ac:dyDescent="0.35">
      <c r="A371" t="s">
        <v>762</v>
      </c>
      <c r="B371" t="s">
        <v>763</v>
      </c>
      <c r="C371" s="1">
        <v>45576</v>
      </c>
      <c r="D371" t="s">
        <v>20</v>
      </c>
      <c r="E371" t="s">
        <v>28</v>
      </c>
      <c r="F371">
        <v>5</v>
      </c>
      <c r="G371">
        <v>98.95</v>
      </c>
      <c r="H371">
        <v>494.75</v>
      </c>
      <c r="I371" t="s">
        <v>31</v>
      </c>
    </row>
    <row r="372" spans="1:9" x14ac:dyDescent="0.35">
      <c r="A372" t="s">
        <v>764</v>
      </c>
      <c r="B372" t="s">
        <v>765</v>
      </c>
      <c r="C372" s="1">
        <v>45625</v>
      </c>
      <c r="D372" t="s">
        <v>27</v>
      </c>
      <c r="E372" t="s">
        <v>28</v>
      </c>
      <c r="F372">
        <v>6</v>
      </c>
      <c r="G372">
        <v>56.28</v>
      </c>
      <c r="H372">
        <v>337.68</v>
      </c>
      <c r="I372" t="s">
        <v>52</v>
      </c>
    </row>
    <row r="373" spans="1:9" x14ac:dyDescent="0.35">
      <c r="A373" t="s">
        <v>766</v>
      </c>
      <c r="B373" t="s">
        <v>767</v>
      </c>
      <c r="C373" s="1">
        <v>45207</v>
      </c>
      <c r="D373" t="s">
        <v>69</v>
      </c>
      <c r="E373" t="s">
        <v>16</v>
      </c>
      <c r="F373">
        <v>9</v>
      </c>
      <c r="G373">
        <v>80.83</v>
      </c>
      <c r="H373">
        <v>727.47</v>
      </c>
      <c r="I373" t="s">
        <v>17</v>
      </c>
    </row>
    <row r="374" spans="1:9" x14ac:dyDescent="0.35">
      <c r="A374" t="s">
        <v>768</v>
      </c>
      <c r="B374" t="s">
        <v>769</v>
      </c>
      <c r="C374" s="1">
        <v>45200</v>
      </c>
      <c r="D374" t="s">
        <v>20</v>
      </c>
      <c r="E374" t="s">
        <v>47</v>
      </c>
      <c r="G374">
        <v>52.69</v>
      </c>
      <c r="I374" t="s">
        <v>52</v>
      </c>
    </row>
    <row r="375" spans="1:9" x14ac:dyDescent="0.35">
      <c r="A375" t="s">
        <v>770</v>
      </c>
      <c r="B375" t="s">
        <v>771</v>
      </c>
      <c r="C375" s="1">
        <v>45489</v>
      </c>
      <c r="D375" t="s">
        <v>27</v>
      </c>
      <c r="E375" t="s">
        <v>28</v>
      </c>
      <c r="F375">
        <v>1</v>
      </c>
      <c r="G375">
        <v>183.45</v>
      </c>
      <c r="H375">
        <v>183.45</v>
      </c>
      <c r="I375" t="s">
        <v>38</v>
      </c>
    </row>
    <row r="376" spans="1:9" x14ac:dyDescent="0.35">
      <c r="A376" t="s">
        <v>772</v>
      </c>
      <c r="B376" t="s">
        <v>773</v>
      </c>
      <c r="C376" s="1">
        <v>45392</v>
      </c>
      <c r="D376" t="s">
        <v>20</v>
      </c>
      <c r="E376" t="s">
        <v>12</v>
      </c>
      <c r="F376">
        <v>4</v>
      </c>
      <c r="G376">
        <v>94.02</v>
      </c>
      <c r="H376">
        <v>376.08</v>
      </c>
      <c r="I376" t="s">
        <v>21</v>
      </c>
    </row>
    <row r="377" spans="1:9" x14ac:dyDescent="0.35">
      <c r="A377" t="s">
        <v>774</v>
      </c>
      <c r="B377" t="s">
        <v>775</v>
      </c>
      <c r="C377" s="1">
        <v>45094</v>
      </c>
      <c r="D377" t="s">
        <v>34</v>
      </c>
      <c r="E377" t="s">
        <v>16</v>
      </c>
      <c r="G377">
        <v>152.78</v>
      </c>
      <c r="I377" t="s">
        <v>52</v>
      </c>
    </row>
    <row r="378" spans="1:9" x14ac:dyDescent="0.35">
      <c r="A378" t="s">
        <v>776</v>
      </c>
      <c r="B378" t="s">
        <v>777</v>
      </c>
      <c r="C378" s="1">
        <v>45589</v>
      </c>
      <c r="D378" t="s">
        <v>69</v>
      </c>
      <c r="E378" t="s">
        <v>16</v>
      </c>
      <c r="G378">
        <v>55.99</v>
      </c>
      <c r="I378" t="s">
        <v>17</v>
      </c>
    </row>
    <row r="379" spans="1:9" x14ac:dyDescent="0.35">
      <c r="A379" t="s">
        <v>778</v>
      </c>
      <c r="B379" t="s">
        <v>779</v>
      </c>
      <c r="C379" s="1">
        <v>45133</v>
      </c>
      <c r="D379" t="s">
        <v>27</v>
      </c>
      <c r="E379" t="s">
        <v>47</v>
      </c>
      <c r="G379">
        <v>141.15</v>
      </c>
      <c r="I379" t="s">
        <v>13</v>
      </c>
    </row>
    <row r="380" spans="1:9" x14ac:dyDescent="0.35">
      <c r="A380" t="s">
        <v>780</v>
      </c>
      <c r="B380" t="s">
        <v>781</v>
      </c>
      <c r="C380" s="1">
        <v>45203</v>
      </c>
      <c r="D380" t="s">
        <v>37</v>
      </c>
      <c r="E380" t="s">
        <v>47</v>
      </c>
      <c r="F380">
        <v>4</v>
      </c>
      <c r="G380">
        <v>124.02</v>
      </c>
      <c r="H380">
        <v>496.08</v>
      </c>
      <c r="I380" t="s">
        <v>17</v>
      </c>
    </row>
    <row r="381" spans="1:9" x14ac:dyDescent="0.35">
      <c r="A381" t="s">
        <v>782</v>
      </c>
      <c r="B381" t="s">
        <v>783</v>
      </c>
      <c r="C381" s="1">
        <v>45277</v>
      </c>
      <c r="D381" t="s">
        <v>20</v>
      </c>
      <c r="E381" t="s">
        <v>12</v>
      </c>
      <c r="G381">
        <v>195.3</v>
      </c>
      <c r="I381" t="s">
        <v>31</v>
      </c>
    </row>
    <row r="382" spans="1:9" x14ac:dyDescent="0.35">
      <c r="A382" t="s">
        <v>784</v>
      </c>
      <c r="B382" t="s">
        <v>785</v>
      </c>
      <c r="C382" s="1">
        <v>45755</v>
      </c>
      <c r="D382" t="s">
        <v>34</v>
      </c>
      <c r="E382" t="s">
        <v>47</v>
      </c>
      <c r="G382">
        <v>56.29</v>
      </c>
      <c r="I382" t="s">
        <v>38</v>
      </c>
    </row>
    <row r="383" spans="1:9" x14ac:dyDescent="0.35">
      <c r="A383" t="s">
        <v>786</v>
      </c>
      <c r="B383" t="s">
        <v>787</v>
      </c>
      <c r="C383" s="1">
        <v>45618</v>
      </c>
      <c r="D383" t="s">
        <v>27</v>
      </c>
      <c r="E383" t="s">
        <v>28</v>
      </c>
      <c r="F383">
        <v>7</v>
      </c>
      <c r="G383">
        <v>88.39</v>
      </c>
      <c r="H383">
        <v>618.73</v>
      </c>
      <c r="I383" t="s">
        <v>31</v>
      </c>
    </row>
    <row r="384" spans="1:9" x14ac:dyDescent="0.35">
      <c r="A384" t="s">
        <v>788</v>
      </c>
      <c r="B384" t="s">
        <v>789</v>
      </c>
      <c r="C384" s="1">
        <v>45673</v>
      </c>
      <c r="D384" t="s">
        <v>69</v>
      </c>
      <c r="E384" t="s">
        <v>28</v>
      </c>
      <c r="G384">
        <v>180.43</v>
      </c>
      <c r="I384" t="s">
        <v>13</v>
      </c>
    </row>
    <row r="385" spans="1:9" x14ac:dyDescent="0.35">
      <c r="A385" t="s">
        <v>790</v>
      </c>
      <c r="B385" t="s">
        <v>791</v>
      </c>
      <c r="C385" s="1">
        <v>45185</v>
      </c>
      <c r="D385" t="s">
        <v>34</v>
      </c>
      <c r="E385" t="s">
        <v>12</v>
      </c>
      <c r="G385">
        <v>17.32</v>
      </c>
      <c r="I385" t="s">
        <v>13</v>
      </c>
    </row>
    <row r="386" spans="1:9" x14ac:dyDescent="0.35">
      <c r="A386" t="s">
        <v>792</v>
      </c>
      <c r="B386" t="s">
        <v>793</v>
      </c>
      <c r="C386" s="1">
        <v>45104</v>
      </c>
      <c r="D386" t="s">
        <v>34</v>
      </c>
      <c r="E386" t="s">
        <v>16</v>
      </c>
      <c r="F386">
        <v>4</v>
      </c>
      <c r="G386">
        <v>78.099999999999994</v>
      </c>
      <c r="H386">
        <v>312.39999999999998</v>
      </c>
      <c r="I386" t="s">
        <v>17</v>
      </c>
    </row>
    <row r="387" spans="1:9" x14ac:dyDescent="0.35">
      <c r="A387" t="s">
        <v>794</v>
      </c>
      <c r="B387" t="s">
        <v>795</v>
      </c>
      <c r="C387" s="1">
        <v>45518</v>
      </c>
      <c r="D387" t="s">
        <v>69</v>
      </c>
      <c r="E387" t="s">
        <v>12</v>
      </c>
      <c r="G387">
        <v>197.53</v>
      </c>
      <c r="I387" t="s">
        <v>52</v>
      </c>
    </row>
    <row r="388" spans="1:9" x14ac:dyDescent="0.35">
      <c r="A388" t="s">
        <v>796</v>
      </c>
      <c r="B388" t="s">
        <v>797</v>
      </c>
      <c r="C388" s="1">
        <v>45664</v>
      </c>
      <c r="D388" t="s">
        <v>34</v>
      </c>
      <c r="E388" t="s">
        <v>24</v>
      </c>
      <c r="G388">
        <v>58.03</v>
      </c>
      <c r="I388" t="s">
        <v>38</v>
      </c>
    </row>
    <row r="389" spans="1:9" x14ac:dyDescent="0.35">
      <c r="A389" t="s">
        <v>798</v>
      </c>
      <c r="B389" t="s">
        <v>799</v>
      </c>
      <c r="C389" s="1">
        <v>45359</v>
      </c>
      <c r="D389" t="s">
        <v>20</v>
      </c>
      <c r="E389" t="s">
        <v>28</v>
      </c>
      <c r="G389">
        <v>138.01</v>
      </c>
      <c r="I389" t="s">
        <v>52</v>
      </c>
    </row>
    <row r="390" spans="1:9" x14ac:dyDescent="0.35">
      <c r="A390" t="s">
        <v>800</v>
      </c>
      <c r="B390" t="s">
        <v>801</v>
      </c>
      <c r="C390" s="1">
        <v>45706</v>
      </c>
      <c r="D390" t="s">
        <v>27</v>
      </c>
      <c r="E390" t="s">
        <v>28</v>
      </c>
      <c r="G390">
        <v>81.37</v>
      </c>
      <c r="I390" t="s">
        <v>21</v>
      </c>
    </row>
    <row r="391" spans="1:9" x14ac:dyDescent="0.35">
      <c r="A391" t="s">
        <v>802</v>
      </c>
      <c r="B391" t="s">
        <v>803</v>
      </c>
      <c r="C391" s="1">
        <v>45159</v>
      </c>
      <c r="D391" t="s">
        <v>69</v>
      </c>
      <c r="E391" t="s">
        <v>16</v>
      </c>
      <c r="G391">
        <v>110.42</v>
      </c>
      <c r="I391" t="s">
        <v>13</v>
      </c>
    </row>
    <row r="392" spans="1:9" x14ac:dyDescent="0.35">
      <c r="A392" t="s">
        <v>804</v>
      </c>
      <c r="B392" t="s">
        <v>805</v>
      </c>
      <c r="C392" s="1">
        <v>45688</v>
      </c>
      <c r="D392" t="s">
        <v>34</v>
      </c>
      <c r="E392" t="s">
        <v>12</v>
      </c>
      <c r="F392">
        <v>5</v>
      </c>
      <c r="G392">
        <v>47.97</v>
      </c>
      <c r="I392" t="s">
        <v>52</v>
      </c>
    </row>
    <row r="393" spans="1:9" x14ac:dyDescent="0.35">
      <c r="A393" t="s">
        <v>806</v>
      </c>
      <c r="B393" t="s">
        <v>807</v>
      </c>
      <c r="C393" s="1">
        <v>45722</v>
      </c>
      <c r="D393" t="s">
        <v>34</v>
      </c>
      <c r="E393" t="s">
        <v>47</v>
      </c>
      <c r="F393">
        <v>4</v>
      </c>
      <c r="G393">
        <v>153.19999999999999</v>
      </c>
      <c r="H393">
        <v>612.79999999999995</v>
      </c>
      <c r="I393" t="s">
        <v>38</v>
      </c>
    </row>
    <row r="394" spans="1:9" x14ac:dyDescent="0.35">
      <c r="A394" t="s">
        <v>808</v>
      </c>
      <c r="B394" t="s">
        <v>809</v>
      </c>
      <c r="C394" s="1">
        <v>45536</v>
      </c>
      <c r="D394" t="s">
        <v>20</v>
      </c>
      <c r="E394" t="s">
        <v>28</v>
      </c>
      <c r="F394">
        <v>8</v>
      </c>
      <c r="G394">
        <v>111.15</v>
      </c>
      <c r="H394">
        <v>889.2</v>
      </c>
      <c r="I394" t="s">
        <v>17</v>
      </c>
    </row>
    <row r="395" spans="1:9" x14ac:dyDescent="0.35">
      <c r="A395" t="s">
        <v>810</v>
      </c>
      <c r="B395" t="s">
        <v>811</v>
      </c>
      <c r="C395" s="1">
        <v>45472</v>
      </c>
      <c r="D395" t="s">
        <v>11</v>
      </c>
      <c r="E395" t="s">
        <v>24</v>
      </c>
      <c r="G395">
        <v>110.33</v>
      </c>
      <c r="I395" t="s">
        <v>17</v>
      </c>
    </row>
    <row r="396" spans="1:9" x14ac:dyDescent="0.35">
      <c r="A396" t="s">
        <v>812</v>
      </c>
      <c r="B396" t="s">
        <v>813</v>
      </c>
      <c r="C396" s="1">
        <v>45551</v>
      </c>
      <c r="D396" t="s">
        <v>20</v>
      </c>
      <c r="E396" t="s">
        <v>28</v>
      </c>
      <c r="G396">
        <v>194.71</v>
      </c>
      <c r="I396" t="s">
        <v>38</v>
      </c>
    </row>
    <row r="397" spans="1:9" x14ac:dyDescent="0.35">
      <c r="A397" t="s">
        <v>814</v>
      </c>
      <c r="B397" t="s">
        <v>815</v>
      </c>
      <c r="C397" s="1">
        <v>45447</v>
      </c>
      <c r="D397" t="s">
        <v>34</v>
      </c>
      <c r="E397" t="s">
        <v>16</v>
      </c>
      <c r="F397">
        <v>1</v>
      </c>
      <c r="G397">
        <v>62.59</v>
      </c>
      <c r="H397">
        <v>62.59</v>
      </c>
      <c r="I397" t="s">
        <v>52</v>
      </c>
    </row>
    <row r="398" spans="1:9" x14ac:dyDescent="0.35">
      <c r="A398" t="s">
        <v>816</v>
      </c>
      <c r="B398" t="s">
        <v>817</v>
      </c>
      <c r="C398" s="1">
        <v>45753</v>
      </c>
      <c r="D398" t="s">
        <v>27</v>
      </c>
      <c r="E398" t="s">
        <v>12</v>
      </c>
      <c r="G398">
        <v>132.13999999999999</v>
      </c>
      <c r="I398" t="s">
        <v>38</v>
      </c>
    </row>
    <row r="399" spans="1:9" x14ac:dyDescent="0.35">
      <c r="A399" t="s">
        <v>818</v>
      </c>
      <c r="B399" t="s">
        <v>819</v>
      </c>
      <c r="C399" s="1">
        <v>45247</v>
      </c>
      <c r="D399" t="s">
        <v>69</v>
      </c>
      <c r="E399" t="s">
        <v>12</v>
      </c>
      <c r="G399">
        <v>111.14</v>
      </c>
      <c r="I399" t="s">
        <v>52</v>
      </c>
    </row>
    <row r="400" spans="1:9" x14ac:dyDescent="0.35">
      <c r="A400" t="s">
        <v>820</v>
      </c>
      <c r="B400" t="s">
        <v>821</v>
      </c>
      <c r="C400" s="1">
        <v>45564</v>
      </c>
      <c r="D400" t="s">
        <v>11</v>
      </c>
      <c r="E400" t="s">
        <v>28</v>
      </c>
      <c r="G400">
        <v>121.97</v>
      </c>
      <c r="I400" t="s">
        <v>13</v>
      </c>
    </row>
    <row r="401" spans="1:9" x14ac:dyDescent="0.35">
      <c r="A401" t="s">
        <v>822</v>
      </c>
      <c r="B401" t="s">
        <v>823</v>
      </c>
      <c r="C401" s="1">
        <v>45329</v>
      </c>
      <c r="D401" t="s">
        <v>20</v>
      </c>
      <c r="E401" t="s">
        <v>24</v>
      </c>
      <c r="F401">
        <v>3</v>
      </c>
      <c r="G401">
        <v>86</v>
      </c>
      <c r="I401" t="s">
        <v>21</v>
      </c>
    </row>
    <row r="402" spans="1:9" x14ac:dyDescent="0.35">
      <c r="A402" t="s">
        <v>824</v>
      </c>
      <c r="B402" t="s">
        <v>825</v>
      </c>
      <c r="C402" s="1">
        <v>45341</v>
      </c>
      <c r="D402" t="s">
        <v>11</v>
      </c>
      <c r="E402" t="s">
        <v>24</v>
      </c>
      <c r="F402">
        <v>1</v>
      </c>
      <c r="G402">
        <v>52.07</v>
      </c>
      <c r="H402">
        <v>52.07</v>
      </c>
      <c r="I402" t="s">
        <v>21</v>
      </c>
    </row>
    <row r="403" spans="1:9" x14ac:dyDescent="0.35">
      <c r="A403" t="s">
        <v>826</v>
      </c>
      <c r="B403" t="s">
        <v>827</v>
      </c>
      <c r="C403" s="1">
        <v>45120</v>
      </c>
      <c r="D403" t="s">
        <v>34</v>
      </c>
      <c r="E403" t="s">
        <v>47</v>
      </c>
      <c r="F403">
        <v>1</v>
      </c>
      <c r="G403">
        <v>49.47</v>
      </c>
      <c r="H403">
        <v>49.47</v>
      </c>
      <c r="I403" t="s">
        <v>21</v>
      </c>
    </row>
    <row r="404" spans="1:9" x14ac:dyDescent="0.35">
      <c r="A404" t="s">
        <v>828</v>
      </c>
      <c r="B404" t="s">
        <v>829</v>
      </c>
      <c r="C404" s="1">
        <v>45207</v>
      </c>
      <c r="D404" t="s">
        <v>34</v>
      </c>
      <c r="E404" t="s">
        <v>12</v>
      </c>
      <c r="F404">
        <v>3</v>
      </c>
      <c r="G404">
        <v>176.79</v>
      </c>
      <c r="H404">
        <v>530.37</v>
      </c>
      <c r="I404" t="s">
        <v>31</v>
      </c>
    </row>
    <row r="405" spans="1:9" x14ac:dyDescent="0.35">
      <c r="A405" t="s">
        <v>830</v>
      </c>
      <c r="B405" t="s">
        <v>831</v>
      </c>
      <c r="C405" s="1">
        <v>45069</v>
      </c>
      <c r="D405" t="s">
        <v>20</v>
      </c>
      <c r="E405" t="s">
        <v>47</v>
      </c>
      <c r="F405">
        <v>5</v>
      </c>
      <c r="G405">
        <v>153.06</v>
      </c>
      <c r="H405">
        <v>765.3</v>
      </c>
      <c r="I405" t="s">
        <v>17</v>
      </c>
    </row>
    <row r="406" spans="1:9" x14ac:dyDescent="0.35">
      <c r="A406" t="s">
        <v>832</v>
      </c>
      <c r="B406" t="s">
        <v>833</v>
      </c>
      <c r="C406" s="1">
        <v>45704</v>
      </c>
      <c r="D406" t="s">
        <v>27</v>
      </c>
      <c r="E406" t="s">
        <v>16</v>
      </c>
      <c r="F406">
        <v>3</v>
      </c>
      <c r="G406">
        <v>102.34</v>
      </c>
      <c r="H406">
        <v>307.02</v>
      </c>
      <c r="I406" t="s">
        <v>38</v>
      </c>
    </row>
    <row r="407" spans="1:9" x14ac:dyDescent="0.35">
      <c r="A407" t="s">
        <v>834</v>
      </c>
      <c r="B407" t="s">
        <v>835</v>
      </c>
      <c r="C407" s="1">
        <v>45643</v>
      </c>
      <c r="D407" t="s">
        <v>27</v>
      </c>
      <c r="E407" t="s">
        <v>12</v>
      </c>
      <c r="F407">
        <v>1</v>
      </c>
      <c r="G407">
        <v>86.78</v>
      </c>
      <c r="H407">
        <v>86.78</v>
      </c>
      <c r="I407" t="s">
        <v>13</v>
      </c>
    </row>
    <row r="408" spans="1:9" x14ac:dyDescent="0.35">
      <c r="A408" t="s">
        <v>836</v>
      </c>
      <c r="B408" t="s">
        <v>837</v>
      </c>
      <c r="C408" s="1">
        <v>45621</v>
      </c>
      <c r="D408" t="s">
        <v>27</v>
      </c>
      <c r="E408" t="s">
        <v>47</v>
      </c>
      <c r="F408">
        <v>1</v>
      </c>
      <c r="G408">
        <v>150.13</v>
      </c>
      <c r="H408">
        <v>150.13</v>
      </c>
      <c r="I408" t="s">
        <v>13</v>
      </c>
    </row>
    <row r="409" spans="1:9" x14ac:dyDescent="0.35">
      <c r="A409" t="s">
        <v>838</v>
      </c>
      <c r="B409" t="s">
        <v>839</v>
      </c>
      <c r="C409" s="1">
        <v>45404</v>
      </c>
      <c r="D409" t="s">
        <v>34</v>
      </c>
      <c r="E409" t="s">
        <v>47</v>
      </c>
      <c r="G409">
        <v>27.89</v>
      </c>
      <c r="I409" t="s">
        <v>13</v>
      </c>
    </row>
    <row r="410" spans="1:9" x14ac:dyDescent="0.35">
      <c r="A410" t="s">
        <v>840</v>
      </c>
      <c r="B410" t="s">
        <v>841</v>
      </c>
      <c r="C410" s="1">
        <v>45122</v>
      </c>
      <c r="D410" t="s">
        <v>27</v>
      </c>
      <c r="E410" t="s">
        <v>12</v>
      </c>
      <c r="F410">
        <v>2</v>
      </c>
      <c r="G410">
        <v>112.72</v>
      </c>
      <c r="H410">
        <v>225.44</v>
      </c>
      <c r="I410" t="s">
        <v>38</v>
      </c>
    </row>
    <row r="411" spans="1:9" x14ac:dyDescent="0.35">
      <c r="A411" t="s">
        <v>842</v>
      </c>
      <c r="B411" t="s">
        <v>843</v>
      </c>
      <c r="C411" s="1">
        <v>45250</v>
      </c>
      <c r="D411" t="s">
        <v>20</v>
      </c>
      <c r="E411" t="s">
        <v>28</v>
      </c>
      <c r="G411">
        <v>129.15</v>
      </c>
      <c r="I411" t="s">
        <v>13</v>
      </c>
    </row>
    <row r="412" spans="1:9" x14ac:dyDescent="0.35">
      <c r="A412" t="s">
        <v>844</v>
      </c>
      <c r="B412" t="s">
        <v>845</v>
      </c>
      <c r="C412" s="1">
        <v>45193</v>
      </c>
      <c r="D412" t="s">
        <v>20</v>
      </c>
      <c r="E412" t="s">
        <v>47</v>
      </c>
      <c r="G412">
        <v>83.23</v>
      </c>
      <c r="I412" t="s">
        <v>13</v>
      </c>
    </row>
    <row r="413" spans="1:9" x14ac:dyDescent="0.35">
      <c r="A413" t="s">
        <v>846</v>
      </c>
      <c r="B413" t="s">
        <v>847</v>
      </c>
      <c r="C413" s="1">
        <v>45278</v>
      </c>
      <c r="D413" t="s">
        <v>11</v>
      </c>
      <c r="E413" t="s">
        <v>24</v>
      </c>
      <c r="F413">
        <v>3</v>
      </c>
      <c r="G413">
        <v>15.07</v>
      </c>
      <c r="H413">
        <v>45.21</v>
      </c>
      <c r="I413" t="s">
        <v>31</v>
      </c>
    </row>
    <row r="414" spans="1:9" x14ac:dyDescent="0.35">
      <c r="A414" t="s">
        <v>848</v>
      </c>
      <c r="B414" t="s">
        <v>849</v>
      </c>
      <c r="C414" s="1">
        <v>45085</v>
      </c>
      <c r="D414" t="s">
        <v>69</v>
      </c>
      <c r="E414" t="s">
        <v>28</v>
      </c>
      <c r="G414">
        <v>20.57</v>
      </c>
      <c r="I414" t="s">
        <v>21</v>
      </c>
    </row>
    <row r="415" spans="1:9" x14ac:dyDescent="0.35">
      <c r="A415" t="s">
        <v>850</v>
      </c>
      <c r="B415" t="s">
        <v>851</v>
      </c>
      <c r="C415" s="1">
        <v>45201</v>
      </c>
      <c r="D415" t="s">
        <v>11</v>
      </c>
      <c r="E415" t="s">
        <v>16</v>
      </c>
      <c r="G415">
        <v>130.63999999999999</v>
      </c>
      <c r="I415" t="s">
        <v>38</v>
      </c>
    </row>
    <row r="416" spans="1:9" x14ac:dyDescent="0.35">
      <c r="A416" t="s">
        <v>852</v>
      </c>
      <c r="B416" t="s">
        <v>853</v>
      </c>
      <c r="C416" s="1">
        <v>45193</v>
      </c>
      <c r="D416" t="s">
        <v>69</v>
      </c>
      <c r="E416" t="s">
        <v>47</v>
      </c>
      <c r="G416">
        <v>137.21</v>
      </c>
      <c r="I416" t="s">
        <v>52</v>
      </c>
    </row>
    <row r="417" spans="1:9" x14ac:dyDescent="0.35">
      <c r="A417" t="s">
        <v>854</v>
      </c>
      <c r="B417" t="s">
        <v>855</v>
      </c>
      <c r="C417" s="1">
        <v>45191</v>
      </c>
      <c r="D417" t="s">
        <v>20</v>
      </c>
      <c r="E417" t="s">
        <v>24</v>
      </c>
      <c r="G417">
        <v>96.69</v>
      </c>
      <c r="I417" t="s">
        <v>52</v>
      </c>
    </row>
    <row r="418" spans="1:9" x14ac:dyDescent="0.35">
      <c r="A418" t="s">
        <v>856</v>
      </c>
      <c r="B418" t="s">
        <v>857</v>
      </c>
      <c r="C418" s="1">
        <v>45428</v>
      </c>
      <c r="D418" t="s">
        <v>20</v>
      </c>
      <c r="E418" t="s">
        <v>47</v>
      </c>
      <c r="F418">
        <v>3</v>
      </c>
      <c r="G418">
        <v>176.43</v>
      </c>
      <c r="H418">
        <v>529.29</v>
      </c>
      <c r="I418" t="s">
        <v>52</v>
      </c>
    </row>
    <row r="419" spans="1:9" x14ac:dyDescent="0.35">
      <c r="A419" t="s">
        <v>858</v>
      </c>
      <c r="B419" t="s">
        <v>859</v>
      </c>
      <c r="C419" s="1">
        <v>45275</v>
      </c>
      <c r="D419" t="s">
        <v>11</v>
      </c>
      <c r="E419" t="s">
        <v>47</v>
      </c>
      <c r="F419">
        <v>9</v>
      </c>
      <c r="G419">
        <v>93.49</v>
      </c>
      <c r="H419">
        <v>841.41</v>
      </c>
      <c r="I419" t="s">
        <v>38</v>
      </c>
    </row>
    <row r="420" spans="1:9" x14ac:dyDescent="0.35">
      <c r="A420" t="s">
        <v>860</v>
      </c>
      <c r="B420" t="s">
        <v>861</v>
      </c>
      <c r="C420" s="1">
        <v>45344</v>
      </c>
      <c r="D420" t="s">
        <v>20</v>
      </c>
      <c r="E420" t="s">
        <v>28</v>
      </c>
      <c r="F420">
        <v>7</v>
      </c>
      <c r="G420">
        <v>181.68</v>
      </c>
      <c r="H420">
        <v>1271.76</v>
      </c>
      <c r="I420" t="s">
        <v>31</v>
      </c>
    </row>
    <row r="421" spans="1:9" x14ac:dyDescent="0.35">
      <c r="A421" t="s">
        <v>862</v>
      </c>
      <c r="B421" t="s">
        <v>863</v>
      </c>
      <c r="C421" s="1">
        <v>45131</v>
      </c>
      <c r="D421" t="s">
        <v>11</v>
      </c>
      <c r="E421" t="s">
        <v>24</v>
      </c>
      <c r="F421">
        <v>4</v>
      </c>
      <c r="G421">
        <v>66.41</v>
      </c>
      <c r="H421">
        <v>265.64</v>
      </c>
      <c r="I421" t="s">
        <v>52</v>
      </c>
    </row>
    <row r="422" spans="1:9" x14ac:dyDescent="0.35">
      <c r="A422" t="s">
        <v>864</v>
      </c>
      <c r="B422" t="s">
        <v>865</v>
      </c>
      <c r="C422" s="1">
        <v>45080</v>
      </c>
      <c r="D422" t="s">
        <v>37</v>
      </c>
      <c r="E422" t="s">
        <v>24</v>
      </c>
      <c r="F422">
        <v>5</v>
      </c>
      <c r="G422">
        <v>24.03</v>
      </c>
      <c r="H422">
        <v>120.15</v>
      </c>
      <c r="I422" t="s">
        <v>31</v>
      </c>
    </row>
    <row r="423" spans="1:9" x14ac:dyDescent="0.35">
      <c r="A423" t="s">
        <v>866</v>
      </c>
      <c r="B423" t="s">
        <v>867</v>
      </c>
      <c r="C423" s="1">
        <v>45571</v>
      </c>
      <c r="D423" t="s">
        <v>11</v>
      </c>
      <c r="E423" t="s">
        <v>28</v>
      </c>
      <c r="G423">
        <v>160.74</v>
      </c>
      <c r="I423" t="s">
        <v>13</v>
      </c>
    </row>
    <row r="424" spans="1:9" x14ac:dyDescent="0.35">
      <c r="A424" t="s">
        <v>868</v>
      </c>
      <c r="B424" t="s">
        <v>869</v>
      </c>
      <c r="C424" s="1">
        <v>45715</v>
      </c>
      <c r="D424" t="s">
        <v>27</v>
      </c>
      <c r="E424" t="s">
        <v>12</v>
      </c>
      <c r="G424">
        <v>23.31</v>
      </c>
      <c r="I424" t="s">
        <v>38</v>
      </c>
    </row>
    <row r="425" spans="1:9" x14ac:dyDescent="0.35">
      <c r="A425" t="s">
        <v>870</v>
      </c>
      <c r="B425" t="s">
        <v>871</v>
      </c>
      <c r="C425" s="1">
        <v>45662</v>
      </c>
      <c r="D425" t="s">
        <v>69</v>
      </c>
      <c r="E425" t="s">
        <v>47</v>
      </c>
      <c r="G425">
        <v>157.71</v>
      </c>
      <c r="I425" t="s">
        <v>31</v>
      </c>
    </row>
    <row r="426" spans="1:9" x14ac:dyDescent="0.35">
      <c r="A426" t="s">
        <v>872</v>
      </c>
      <c r="B426" t="s">
        <v>873</v>
      </c>
      <c r="C426" s="1">
        <v>45632</v>
      </c>
      <c r="D426" t="s">
        <v>69</v>
      </c>
      <c r="E426" t="s">
        <v>16</v>
      </c>
      <c r="F426">
        <v>9</v>
      </c>
      <c r="G426">
        <v>80.180000000000007</v>
      </c>
      <c r="H426">
        <v>721.62</v>
      </c>
      <c r="I426" t="s">
        <v>17</v>
      </c>
    </row>
    <row r="427" spans="1:9" x14ac:dyDescent="0.35">
      <c r="A427" t="s">
        <v>874</v>
      </c>
      <c r="B427" t="s">
        <v>875</v>
      </c>
      <c r="C427" s="1">
        <v>45341</v>
      </c>
      <c r="D427" t="s">
        <v>20</v>
      </c>
      <c r="E427" t="s">
        <v>47</v>
      </c>
      <c r="G427">
        <v>15.6</v>
      </c>
      <c r="I427" t="s">
        <v>21</v>
      </c>
    </row>
    <row r="428" spans="1:9" x14ac:dyDescent="0.35">
      <c r="A428" t="s">
        <v>876</v>
      </c>
      <c r="B428" t="s">
        <v>877</v>
      </c>
      <c r="C428" s="1">
        <v>45589</v>
      </c>
      <c r="D428" t="s">
        <v>37</v>
      </c>
      <c r="E428" t="s">
        <v>16</v>
      </c>
      <c r="G428">
        <v>103.55</v>
      </c>
      <c r="I428" t="s">
        <v>52</v>
      </c>
    </row>
    <row r="429" spans="1:9" x14ac:dyDescent="0.35">
      <c r="A429" t="s">
        <v>878</v>
      </c>
      <c r="B429" t="s">
        <v>879</v>
      </c>
      <c r="C429" s="1">
        <v>45142</v>
      </c>
      <c r="D429" t="s">
        <v>20</v>
      </c>
      <c r="E429" t="s">
        <v>16</v>
      </c>
      <c r="G429">
        <v>115.52</v>
      </c>
      <c r="I429" t="s">
        <v>31</v>
      </c>
    </row>
    <row r="430" spans="1:9" x14ac:dyDescent="0.35">
      <c r="A430" t="s">
        <v>880</v>
      </c>
      <c r="B430" t="s">
        <v>881</v>
      </c>
      <c r="C430" s="1">
        <v>45101</v>
      </c>
      <c r="D430" t="s">
        <v>69</v>
      </c>
      <c r="E430" t="s">
        <v>24</v>
      </c>
      <c r="F430">
        <v>5</v>
      </c>
      <c r="G430">
        <v>63.02</v>
      </c>
      <c r="H430">
        <v>315.10000000000002</v>
      </c>
      <c r="I430" t="s">
        <v>17</v>
      </c>
    </row>
    <row r="431" spans="1:9" x14ac:dyDescent="0.35">
      <c r="A431" t="s">
        <v>882</v>
      </c>
      <c r="B431" t="s">
        <v>883</v>
      </c>
      <c r="C431" s="1">
        <v>45708</v>
      </c>
      <c r="D431" t="s">
        <v>11</v>
      </c>
      <c r="E431" t="s">
        <v>16</v>
      </c>
      <c r="F431">
        <v>9</v>
      </c>
      <c r="G431">
        <v>68.900000000000006</v>
      </c>
      <c r="H431">
        <v>620.1</v>
      </c>
      <c r="I431" t="s">
        <v>17</v>
      </c>
    </row>
    <row r="432" spans="1:9" x14ac:dyDescent="0.35">
      <c r="A432" t="s">
        <v>884</v>
      </c>
      <c r="B432" t="s">
        <v>885</v>
      </c>
      <c r="C432" s="1">
        <v>45330</v>
      </c>
      <c r="D432" t="s">
        <v>69</v>
      </c>
      <c r="E432" t="s">
        <v>47</v>
      </c>
      <c r="G432">
        <v>70.06</v>
      </c>
      <c r="I432" t="s">
        <v>31</v>
      </c>
    </row>
    <row r="433" spans="1:9" x14ac:dyDescent="0.35">
      <c r="A433" t="s">
        <v>886</v>
      </c>
      <c r="B433" t="s">
        <v>887</v>
      </c>
      <c r="C433" s="1">
        <v>45496</v>
      </c>
      <c r="D433" t="s">
        <v>34</v>
      </c>
      <c r="E433" t="s">
        <v>28</v>
      </c>
      <c r="G433">
        <v>75.53</v>
      </c>
      <c r="I433" t="s">
        <v>17</v>
      </c>
    </row>
    <row r="434" spans="1:9" x14ac:dyDescent="0.35">
      <c r="A434" t="s">
        <v>888</v>
      </c>
      <c r="B434" t="s">
        <v>889</v>
      </c>
      <c r="C434" s="1">
        <v>45744</v>
      </c>
      <c r="D434" t="s">
        <v>11</v>
      </c>
      <c r="E434" t="s">
        <v>24</v>
      </c>
      <c r="F434">
        <v>1</v>
      </c>
      <c r="G434">
        <v>19.100000000000001</v>
      </c>
      <c r="H434">
        <v>19.100000000000001</v>
      </c>
      <c r="I434" t="s">
        <v>52</v>
      </c>
    </row>
    <row r="435" spans="1:9" x14ac:dyDescent="0.35">
      <c r="A435" t="s">
        <v>890</v>
      </c>
      <c r="B435" t="s">
        <v>891</v>
      </c>
      <c r="C435" s="1">
        <v>45065</v>
      </c>
      <c r="D435" t="s">
        <v>37</v>
      </c>
      <c r="E435" t="s">
        <v>24</v>
      </c>
      <c r="F435">
        <v>3</v>
      </c>
      <c r="G435">
        <v>16.05</v>
      </c>
      <c r="I435" t="s">
        <v>13</v>
      </c>
    </row>
    <row r="436" spans="1:9" x14ac:dyDescent="0.35">
      <c r="A436" t="s">
        <v>892</v>
      </c>
      <c r="B436" t="s">
        <v>893</v>
      </c>
      <c r="C436" s="1">
        <v>45339</v>
      </c>
      <c r="D436" t="s">
        <v>20</v>
      </c>
      <c r="E436" t="s">
        <v>12</v>
      </c>
      <c r="G436">
        <v>122.81</v>
      </c>
      <c r="I436" t="s">
        <v>13</v>
      </c>
    </row>
    <row r="437" spans="1:9" x14ac:dyDescent="0.35">
      <c r="A437" t="s">
        <v>894</v>
      </c>
      <c r="B437" t="s">
        <v>895</v>
      </c>
      <c r="C437" s="1">
        <v>45741</v>
      </c>
      <c r="D437" t="s">
        <v>34</v>
      </c>
      <c r="E437" t="s">
        <v>47</v>
      </c>
      <c r="F437">
        <v>2</v>
      </c>
      <c r="G437">
        <v>49.68</v>
      </c>
      <c r="H437">
        <v>99.36</v>
      </c>
      <c r="I437" t="s">
        <v>21</v>
      </c>
    </row>
    <row r="438" spans="1:9" x14ac:dyDescent="0.35">
      <c r="A438" t="s">
        <v>896</v>
      </c>
      <c r="B438" t="s">
        <v>897</v>
      </c>
      <c r="C438" s="1">
        <v>45429</v>
      </c>
      <c r="D438" t="s">
        <v>20</v>
      </c>
      <c r="E438" t="s">
        <v>12</v>
      </c>
      <c r="F438">
        <v>1</v>
      </c>
      <c r="G438">
        <v>145.75</v>
      </c>
      <c r="H438">
        <v>145.75</v>
      </c>
      <c r="I438" t="s">
        <v>38</v>
      </c>
    </row>
    <row r="439" spans="1:9" x14ac:dyDescent="0.35">
      <c r="A439" t="s">
        <v>898</v>
      </c>
      <c r="B439" t="s">
        <v>899</v>
      </c>
      <c r="C439" s="1">
        <v>45653</v>
      </c>
      <c r="D439" t="s">
        <v>69</v>
      </c>
      <c r="E439" t="s">
        <v>24</v>
      </c>
      <c r="G439">
        <v>103.18</v>
      </c>
      <c r="I439" t="s">
        <v>31</v>
      </c>
    </row>
    <row r="440" spans="1:9" x14ac:dyDescent="0.35">
      <c r="A440" t="s">
        <v>900</v>
      </c>
      <c r="B440" t="s">
        <v>901</v>
      </c>
      <c r="C440" s="1">
        <v>45634</v>
      </c>
      <c r="D440" t="s">
        <v>37</v>
      </c>
      <c r="E440" t="s">
        <v>47</v>
      </c>
      <c r="F440">
        <v>8</v>
      </c>
      <c r="G440">
        <v>172.43</v>
      </c>
      <c r="H440">
        <v>1379.44</v>
      </c>
      <c r="I440" t="s">
        <v>21</v>
      </c>
    </row>
    <row r="441" spans="1:9" x14ac:dyDescent="0.35">
      <c r="A441" t="s">
        <v>902</v>
      </c>
      <c r="B441" t="s">
        <v>903</v>
      </c>
      <c r="C441" s="1">
        <v>45497</v>
      </c>
      <c r="D441" t="s">
        <v>69</v>
      </c>
      <c r="E441" t="s">
        <v>28</v>
      </c>
      <c r="F441">
        <v>7</v>
      </c>
      <c r="G441">
        <v>35.590000000000003</v>
      </c>
      <c r="H441">
        <v>249.13</v>
      </c>
      <c r="I441" t="s">
        <v>21</v>
      </c>
    </row>
    <row r="442" spans="1:9" x14ac:dyDescent="0.35">
      <c r="A442" t="s">
        <v>904</v>
      </c>
      <c r="B442" t="s">
        <v>905</v>
      </c>
      <c r="C442" s="1">
        <v>45210</v>
      </c>
      <c r="D442" t="s">
        <v>20</v>
      </c>
      <c r="E442" t="s">
        <v>16</v>
      </c>
      <c r="G442">
        <v>108.53</v>
      </c>
      <c r="I442" t="s">
        <v>17</v>
      </c>
    </row>
    <row r="443" spans="1:9" x14ac:dyDescent="0.35">
      <c r="A443" t="s">
        <v>906</v>
      </c>
      <c r="B443" t="s">
        <v>907</v>
      </c>
      <c r="C443" s="1">
        <v>45050</v>
      </c>
      <c r="D443" t="s">
        <v>34</v>
      </c>
      <c r="E443" t="s">
        <v>28</v>
      </c>
      <c r="G443">
        <v>161.02000000000001</v>
      </c>
      <c r="I443" t="s">
        <v>17</v>
      </c>
    </row>
    <row r="444" spans="1:9" x14ac:dyDescent="0.35">
      <c r="A444" t="s">
        <v>908</v>
      </c>
      <c r="B444" t="s">
        <v>909</v>
      </c>
      <c r="C444" s="1">
        <v>45368</v>
      </c>
      <c r="D444" t="s">
        <v>27</v>
      </c>
      <c r="E444" t="s">
        <v>24</v>
      </c>
      <c r="G444">
        <v>79.63</v>
      </c>
      <c r="I444" t="s">
        <v>31</v>
      </c>
    </row>
    <row r="445" spans="1:9" x14ac:dyDescent="0.35">
      <c r="A445" t="s">
        <v>910</v>
      </c>
      <c r="B445" t="s">
        <v>911</v>
      </c>
      <c r="C445" s="1">
        <v>45481</v>
      </c>
      <c r="D445" t="s">
        <v>20</v>
      </c>
      <c r="E445" t="s">
        <v>16</v>
      </c>
      <c r="G445">
        <v>76.58</v>
      </c>
      <c r="I445" t="s">
        <v>31</v>
      </c>
    </row>
    <row r="446" spans="1:9" x14ac:dyDescent="0.35">
      <c r="A446" t="s">
        <v>912</v>
      </c>
      <c r="B446" t="s">
        <v>913</v>
      </c>
      <c r="C446" s="1">
        <v>45362</v>
      </c>
      <c r="D446" t="s">
        <v>11</v>
      </c>
      <c r="E446" t="s">
        <v>24</v>
      </c>
      <c r="G446">
        <v>48.08</v>
      </c>
      <c r="I446" t="s">
        <v>13</v>
      </c>
    </row>
    <row r="447" spans="1:9" x14ac:dyDescent="0.35">
      <c r="A447" t="s">
        <v>914</v>
      </c>
      <c r="B447" t="s">
        <v>915</v>
      </c>
      <c r="C447" s="1">
        <v>45175</v>
      </c>
      <c r="D447" t="s">
        <v>20</v>
      </c>
      <c r="E447" t="s">
        <v>28</v>
      </c>
      <c r="F447">
        <v>3</v>
      </c>
      <c r="G447">
        <v>86.65</v>
      </c>
      <c r="H447">
        <v>259.95</v>
      </c>
      <c r="I447" t="s">
        <v>17</v>
      </c>
    </row>
    <row r="448" spans="1:9" x14ac:dyDescent="0.35">
      <c r="A448" t="s">
        <v>916</v>
      </c>
      <c r="B448" t="s">
        <v>917</v>
      </c>
      <c r="C448" s="1">
        <v>45336</v>
      </c>
      <c r="D448" t="s">
        <v>69</v>
      </c>
      <c r="E448" t="s">
        <v>24</v>
      </c>
      <c r="G448">
        <v>21.01</v>
      </c>
      <c r="I448" t="s">
        <v>17</v>
      </c>
    </row>
    <row r="449" spans="1:9" x14ac:dyDescent="0.35">
      <c r="A449" t="s">
        <v>918</v>
      </c>
      <c r="B449" t="s">
        <v>919</v>
      </c>
      <c r="C449" s="1">
        <v>45245</v>
      </c>
      <c r="D449" t="s">
        <v>69</v>
      </c>
      <c r="E449" t="s">
        <v>24</v>
      </c>
      <c r="F449">
        <v>1</v>
      </c>
      <c r="G449">
        <v>93.6</v>
      </c>
      <c r="H449">
        <v>93.6</v>
      </c>
      <c r="I449" t="s">
        <v>13</v>
      </c>
    </row>
    <row r="450" spans="1:9" x14ac:dyDescent="0.35">
      <c r="A450" t="s">
        <v>920</v>
      </c>
      <c r="B450" t="s">
        <v>921</v>
      </c>
      <c r="C450" s="1">
        <v>45462</v>
      </c>
      <c r="D450" t="s">
        <v>20</v>
      </c>
      <c r="E450" t="s">
        <v>12</v>
      </c>
      <c r="G450">
        <v>129.53</v>
      </c>
      <c r="I450" t="s">
        <v>52</v>
      </c>
    </row>
    <row r="451" spans="1:9" x14ac:dyDescent="0.35">
      <c r="A451" t="s">
        <v>922</v>
      </c>
      <c r="B451" t="s">
        <v>923</v>
      </c>
      <c r="C451" s="1">
        <v>45708</v>
      </c>
      <c r="D451" t="s">
        <v>69</v>
      </c>
      <c r="E451" t="s">
        <v>24</v>
      </c>
      <c r="F451">
        <v>4</v>
      </c>
      <c r="G451">
        <v>37.840000000000003</v>
      </c>
      <c r="H451">
        <v>151.36000000000001</v>
      </c>
      <c r="I451" t="s">
        <v>17</v>
      </c>
    </row>
    <row r="452" spans="1:9" x14ac:dyDescent="0.35">
      <c r="A452" t="s">
        <v>924</v>
      </c>
      <c r="B452" t="s">
        <v>925</v>
      </c>
      <c r="C452" s="1">
        <v>45310</v>
      </c>
      <c r="D452" t="s">
        <v>34</v>
      </c>
      <c r="E452" t="s">
        <v>16</v>
      </c>
      <c r="F452">
        <v>9</v>
      </c>
      <c r="G452">
        <v>197.37</v>
      </c>
      <c r="H452">
        <v>1776.33</v>
      </c>
      <c r="I452" t="s">
        <v>38</v>
      </c>
    </row>
    <row r="453" spans="1:9" x14ac:dyDescent="0.35">
      <c r="A453" t="s">
        <v>926</v>
      </c>
      <c r="B453" t="s">
        <v>927</v>
      </c>
      <c r="C453" s="1">
        <v>45633</v>
      </c>
      <c r="D453" t="s">
        <v>69</v>
      </c>
      <c r="E453" t="s">
        <v>12</v>
      </c>
      <c r="F453">
        <v>6</v>
      </c>
      <c r="G453">
        <v>195.11</v>
      </c>
      <c r="H453">
        <v>1170.6600000000001</v>
      </c>
      <c r="I453" t="s">
        <v>31</v>
      </c>
    </row>
    <row r="454" spans="1:9" x14ac:dyDescent="0.35">
      <c r="A454" t="s">
        <v>928</v>
      </c>
      <c r="B454" t="s">
        <v>929</v>
      </c>
      <c r="C454" s="1">
        <v>45114</v>
      </c>
      <c r="D454" t="s">
        <v>27</v>
      </c>
      <c r="E454" t="s">
        <v>16</v>
      </c>
      <c r="F454">
        <v>3</v>
      </c>
      <c r="G454">
        <v>116.64</v>
      </c>
      <c r="H454">
        <v>349.92</v>
      </c>
      <c r="I454" t="s">
        <v>17</v>
      </c>
    </row>
    <row r="455" spans="1:9" x14ac:dyDescent="0.35">
      <c r="A455" t="s">
        <v>930</v>
      </c>
      <c r="B455" t="s">
        <v>931</v>
      </c>
      <c r="C455" s="1">
        <v>45506</v>
      </c>
      <c r="D455" t="s">
        <v>37</v>
      </c>
      <c r="E455" t="s">
        <v>47</v>
      </c>
      <c r="G455">
        <v>58.8</v>
      </c>
      <c r="I455" t="s">
        <v>38</v>
      </c>
    </row>
    <row r="456" spans="1:9" x14ac:dyDescent="0.35">
      <c r="A456" t="s">
        <v>932</v>
      </c>
      <c r="B456" t="s">
        <v>933</v>
      </c>
      <c r="C456" s="1">
        <v>45434</v>
      </c>
      <c r="D456" t="s">
        <v>20</v>
      </c>
      <c r="E456" t="s">
        <v>16</v>
      </c>
      <c r="G456">
        <v>57.27</v>
      </c>
      <c r="I456" t="s">
        <v>21</v>
      </c>
    </row>
    <row r="457" spans="1:9" x14ac:dyDescent="0.35">
      <c r="A457" t="s">
        <v>934</v>
      </c>
      <c r="B457" t="s">
        <v>935</v>
      </c>
      <c r="C457" s="1">
        <v>45221</v>
      </c>
      <c r="D457" t="s">
        <v>11</v>
      </c>
      <c r="E457" t="s">
        <v>12</v>
      </c>
      <c r="F457">
        <v>9</v>
      </c>
      <c r="G457">
        <v>75.38</v>
      </c>
      <c r="H457">
        <v>678.42</v>
      </c>
      <c r="I457" t="s">
        <v>17</v>
      </c>
    </row>
    <row r="458" spans="1:9" x14ac:dyDescent="0.35">
      <c r="A458" t="s">
        <v>936</v>
      </c>
      <c r="B458" t="s">
        <v>937</v>
      </c>
      <c r="C458" s="1">
        <v>45112</v>
      </c>
      <c r="D458" t="s">
        <v>20</v>
      </c>
      <c r="E458" t="s">
        <v>28</v>
      </c>
      <c r="G458">
        <v>135.96</v>
      </c>
      <c r="I458" t="s">
        <v>31</v>
      </c>
    </row>
    <row r="459" spans="1:9" x14ac:dyDescent="0.35">
      <c r="A459" t="s">
        <v>938</v>
      </c>
      <c r="B459" t="s">
        <v>939</v>
      </c>
      <c r="C459" s="1">
        <v>45764</v>
      </c>
      <c r="D459" t="s">
        <v>11</v>
      </c>
      <c r="E459" t="s">
        <v>47</v>
      </c>
      <c r="G459">
        <v>161.69</v>
      </c>
      <c r="I459" t="s">
        <v>31</v>
      </c>
    </row>
    <row r="460" spans="1:9" x14ac:dyDescent="0.35">
      <c r="A460" t="s">
        <v>940</v>
      </c>
      <c r="B460" t="s">
        <v>941</v>
      </c>
      <c r="C460" s="1">
        <v>45393</v>
      </c>
      <c r="D460" t="s">
        <v>69</v>
      </c>
      <c r="E460" t="s">
        <v>28</v>
      </c>
      <c r="F460">
        <v>7</v>
      </c>
      <c r="G460">
        <v>181.32</v>
      </c>
      <c r="H460">
        <v>1269.24</v>
      </c>
      <c r="I460" t="s">
        <v>31</v>
      </c>
    </row>
    <row r="461" spans="1:9" x14ac:dyDescent="0.35">
      <c r="A461" t="s">
        <v>942</v>
      </c>
      <c r="B461" t="s">
        <v>943</v>
      </c>
      <c r="C461" s="1">
        <v>45187</v>
      </c>
      <c r="D461" t="s">
        <v>34</v>
      </c>
      <c r="E461" t="s">
        <v>12</v>
      </c>
      <c r="G461">
        <v>116.29</v>
      </c>
      <c r="I461" t="s">
        <v>21</v>
      </c>
    </row>
    <row r="462" spans="1:9" x14ac:dyDescent="0.35">
      <c r="A462" t="s">
        <v>944</v>
      </c>
      <c r="B462" t="s">
        <v>945</v>
      </c>
      <c r="C462" s="1">
        <v>45768</v>
      </c>
      <c r="D462" t="s">
        <v>34</v>
      </c>
      <c r="E462" t="s">
        <v>47</v>
      </c>
      <c r="F462">
        <v>3</v>
      </c>
      <c r="G462">
        <v>77.59</v>
      </c>
      <c r="H462">
        <v>232.77</v>
      </c>
      <c r="I462" t="s">
        <v>21</v>
      </c>
    </row>
    <row r="463" spans="1:9" x14ac:dyDescent="0.35">
      <c r="A463" t="s">
        <v>946</v>
      </c>
      <c r="B463" t="s">
        <v>947</v>
      </c>
      <c r="C463" s="1">
        <v>45092</v>
      </c>
      <c r="D463" t="s">
        <v>37</v>
      </c>
      <c r="E463" t="s">
        <v>16</v>
      </c>
      <c r="F463">
        <v>5</v>
      </c>
      <c r="G463">
        <v>148.93</v>
      </c>
      <c r="H463">
        <v>744.65</v>
      </c>
      <c r="I463" t="s">
        <v>17</v>
      </c>
    </row>
    <row r="464" spans="1:9" x14ac:dyDescent="0.35">
      <c r="A464" t="s">
        <v>948</v>
      </c>
      <c r="B464" t="s">
        <v>949</v>
      </c>
      <c r="C464" s="1">
        <v>45539</v>
      </c>
      <c r="D464" t="s">
        <v>27</v>
      </c>
      <c r="E464" t="s">
        <v>16</v>
      </c>
      <c r="F464">
        <v>5</v>
      </c>
      <c r="G464">
        <v>81.62</v>
      </c>
      <c r="H464">
        <v>408.1</v>
      </c>
      <c r="I464" t="s">
        <v>21</v>
      </c>
    </row>
    <row r="465" spans="1:9" x14ac:dyDescent="0.35">
      <c r="A465" t="s">
        <v>950</v>
      </c>
      <c r="B465" t="s">
        <v>567</v>
      </c>
      <c r="C465" s="1">
        <v>45131</v>
      </c>
      <c r="D465" t="s">
        <v>34</v>
      </c>
      <c r="E465" t="s">
        <v>24</v>
      </c>
      <c r="F465">
        <v>3</v>
      </c>
      <c r="G465">
        <v>143.9</v>
      </c>
      <c r="H465">
        <v>431.7</v>
      </c>
      <c r="I465" t="s">
        <v>52</v>
      </c>
    </row>
    <row r="466" spans="1:9" x14ac:dyDescent="0.35">
      <c r="A466" t="s">
        <v>951</v>
      </c>
      <c r="B466" t="s">
        <v>952</v>
      </c>
      <c r="C466" s="1">
        <v>45193</v>
      </c>
      <c r="D466" t="s">
        <v>11</v>
      </c>
      <c r="E466" t="s">
        <v>28</v>
      </c>
      <c r="G466">
        <v>100.26</v>
      </c>
      <c r="I466" t="s">
        <v>52</v>
      </c>
    </row>
    <row r="467" spans="1:9" x14ac:dyDescent="0.35">
      <c r="A467" t="s">
        <v>953</v>
      </c>
      <c r="B467" t="s">
        <v>954</v>
      </c>
      <c r="C467" s="1">
        <v>45315</v>
      </c>
      <c r="D467" t="s">
        <v>20</v>
      </c>
      <c r="E467" t="s">
        <v>24</v>
      </c>
      <c r="G467">
        <v>25.24</v>
      </c>
      <c r="I467" t="s">
        <v>21</v>
      </c>
    </row>
    <row r="468" spans="1:9" x14ac:dyDescent="0.35">
      <c r="A468" t="s">
        <v>955</v>
      </c>
      <c r="B468" t="s">
        <v>956</v>
      </c>
      <c r="C468" s="1">
        <v>45738</v>
      </c>
      <c r="D468" t="s">
        <v>34</v>
      </c>
      <c r="E468" t="s">
        <v>16</v>
      </c>
      <c r="F468">
        <v>5</v>
      </c>
      <c r="G468">
        <v>197.75</v>
      </c>
      <c r="H468">
        <v>988.75</v>
      </c>
      <c r="I468" t="s">
        <v>52</v>
      </c>
    </row>
    <row r="469" spans="1:9" x14ac:dyDescent="0.35">
      <c r="A469" t="s">
        <v>957</v>
      </c>
      <c r="B469" t="s">
        <v>958</v>
      </c>
      <c r="C469" s="1">
        <v>45303</v>
      </c>
      <c r="D469" t="s">
        <v>11</v>
      </c>
      <c r="E469" t="s">
        <v>12</v>
      </c>
      <c r="G469">
        <v>25.86</v>
      </c>
      <c r="I469" t="s">
        <v>38</v>
      </c>
    </row>
    <row r="470" spans="1:9" x14ac:dyDescent="0.35">
      <c r="A470" t="s">
        <v>959</v>
      </c>
      <c r="B470" t="s">
        <v>960</v>
      </c>
      <c r="C470" s="1">
        <v>45383</v>
      </c>
      <c r="D470" t="s">
        <v>11</v>
      </c>
      <c r="E470" t="s">
        <v>12</v>
      </c>
      <c r="F470">
        <v>5</v>
      </c>
      <c r="G470">
        <v>31.16</v>
      </c>
      <c r="H470">
        <v>155.80000000000001</v>
      </c>
      <c r="I470" t="s">
        <v>52</v>
      </c>
    </row>
    <row r="471" spans="1:9" x14ac:dyDescent="0.35">
      <c r="A471" t="s">
        <v>961</v>
      </c>
      <c r="B471" t="s">
        <v>962</v>
      </c>
      <c r="C471" s="1">
        <v>45193</v>
      </c>
      <c r="D471" t="s">
        <v>37</v>
      </c>
      <c r="E471" t="s">
        <v>24</v>
      </c>
      <c r="F471">
        <v>7</v>
      </c>
      <c r="G471">
        <v>14.76</v>
      </c>
      <c r="H471">
        <v>103.32</v>
      </c>
      <c r="I471" t="s">
        <v>21</v>
      </c>
    </row>
    <row r="472" spans="1:9" x14ac:dyDescent="0.35">
      <c r="A472" t="s">
        <v>963</v>
      </c>
      <c r="B472" t="s">
        <v>964</v>
      </c>
      <c r="C472" s="1">
        <v>45406</v>
      </c>
      <c r="D472" t="s">
        <v>34</v>
      </c>
      <c r="E472" t="s">
        <v>28</v>
      </c>
      <c r="G472">
        <v>88.57</v>
      </c>
      <c r="I472" t="s">
        <v>38</v>
      </c>
    </row>
    <row r="473" spans="1:9" x14ac:dyDescent="0.35">
      <c r="A473" t="s">
        <v>965</v>
      </c>
      <c r="B473" t="s">
        <v>966</v>
      </c>
      <c r="C473" s="1">
        <v>45284</v>
      </c>
      <c r="D473" t="s">
        <v>11</v>
      </c>
      <c r="E473" t="s">
        <v>12</v>
      </c>
      <c r="G473">
        <v>70.599999999999994</v>
      </c>
      <c r="I473" t="s">
        <v>38</v>
      </c>
    </row>
    <row r="474" spans="1:9" x14ac:dyDescent="0.35">
      <c r="A474" t="s">
        <v>967</v>
      </c>
      <c r="B474" t="s">
        <v>968</v>
      </c>
      <c r="C474" s="1">
        <v>45159</v>
      </c>
      <c r="D474" t="s">
        <v>27</v>
      </c>
      <c r="E474" t="s">
        <v>12</v>
      </c>
      <c r="F474">
        <v>5</v>
      </c>
      <c r="G474">
        <v>22.99</v>
      </c>
      <c r="H474">
        <v>114.95</v>
      </c>
      <c r="I474" t="s">
        <v>17</v>
      </c>
    </row>
    <row r="475" spans="1:9" x14ac:dyDescent="0.35">
      <c r="A475" t="s">
        <v>969</v>
      </c>
      <c r="B475" t="s">
        <v>970</v>
      </c>
      <c r="C475" s="1">
        <v>45399</v>
      </c>
      <c r="D475" t="s">
        <v>34</v>
      </c>
      <c r="E475" t="s">
        <v>24</v>
      </c>
      <c r="F475">
        <v>7</v>
      </c>
      <c r="G475">
        <v>173.42</v>
      </c>
      <c r="H475">
        <v>1213.94</v>
      </c>
      <c r="I475" t="s">
        <v>21</v>
      </c>
    </row>
    <row r="476" spans="1:9" x14ac:dyDescent="0.35">
      <c r="A476" t="s">
        <v>971</v>
      </c>
      <c r="B476" t="s">
        <v>972</v>
      </c>
      <c r="C476" s="1">
        <v>45367</v>
      </c>
      <c r="D476" t="s">
        <v>37</v>
      </c>
      <c r="E476" t="s">
        <v>28</v>
      </c>
      <c r="F476">
        <v>5</v>
      </c>
      <c r="G476">
        <v>175.83</v>
      </c>
      <c r="H476">
        <v>879.15</v>
      </c>
      <c r="I476" t="s">
        <v>52</v>
      </c>
    </row>
    <row r="477" spans="1:9" x14ac:dyDescent="0.35">
      <c r="A477" t="s">
        <v>973</v>
      </c>
      <c r="B477" t="s">
        <v>974</v>
      </c>
      <c r="C477" s="1">
        <v>45445</v>
      </c>
      <c r="D477" t="s">
        <v>27</v>
      </c>
      <c r="E477" t="s">
        <v>12</v>
      </c>
      <c r="F477">
        <v>3</v>
      </c>
      <c r="G477">
        <v>76.430000000000007</v>
      </c>
      <c r="H477">
        <v>229.29</v>
      </c>
      <c r="I477" t="s">
        <v>38</v>
      </c>
    </row>
    <row r="478" spans="1:9" x14ac:dyDescent="0.35">
      <c r="A478" t="s">
        <v>975</v>
      </c>
      <c r="B478" t="s">
        <v>976</v>
      </c>
      <c r="C478" s="1">
        <v>45291</v>
      </c>
      <c r="D478" t="s">
        <v>11</v>
      </c>
      <c r="E478" t="s">
        <v>28</v>
      </c>
      <c r="G478">
        <v>134.51</v>
      </c>
      <c r="I478" t="s">
        <v>13</v>
      </c>
    </row>
    <row r="479" spans="1:9" x14ac:dyDescent="0.35">
      <c r="A479" t="s">
        <v>977</v>
      </c>
      <c r="B479" t="s">
        <v>978</v>
      </c>
      <c r="C479" s="1">
        <v>45680</v>
      </c>
      <c r="D479" t="s">
        <v>20</v>
      </c>
      <c r="E479" t="s">
        <v>28</v>
      </c>
      <c r="F479">
        <v>2</v>
      </c>
      <c r="G479">
        <v>104.72</v>
      </c>
      <c r="H479">
        <v>209.44</v>
      </c>
      <c r="I479" t="s">
        <v>17</v>
      </c>
    </row>
    <row r="480" spans="1:9" x14ac:dyDescent="0.35">
      <c r="A480" t="s">
        <v>979</v>
      </c>
      <c r="B480" t="s">
        <v>980</v>
      </c>
      <c r="C480" s="1">
        <v>45706</v>
      </c>
      <c r="D480" t="s">
        <v>37</v>
      </c>
      <c r="E480" t="s">
        <v>12</v>
      </c>
      <c r="F480">
        <v>9</v>
      </c>
      <c r="G480">
        <v>13.95</v>
      </c>
      <c r="H480">
        <v>125.55</v>
      </c>
      <c r="I480" t="s">
        <v>31</v>
      </c>
    </row>
    <row r="481" spans="1:9" x14ac:dyDescent="0.35">
      <c r="A481" t="s">
        <v>981</v>
      </c>
      <c r="B481" t="s">
        <v>982</v>
      </c>
      <c r="C481" s="1">
        <v>45285</v>
      </c>
      <c r="D481" t="s">
        <v>37</v>
      </c>
      <c r="E481" t="s">
        <v>16</v>
      </c>
      <c r="G481">
        <v>12.68</v>
      </c>
      <c r="I481" t="s">
        <v>21</v>
      </c>
    </row>
    <row r="482" spans="1:9" x14ac:dyDescent="0.35">
      <c r="A482" t="s">
        <v>983</v>
      </c>
      <c r="B482" t="s">
        <v>984</v>
      </c>
      <c r="C482" s="1">
        <v>45519</v>
      </c>
      <c r="D482" t="s">
        <v>37</v>
      </c>
      <c r="E482" t="s">
        <v>12</v>
      </c>
      <c r="F482">
        <v>6</v>
      </c>
      <c r="G482">
        <v>169.83</v>
      </c>
      <c r="H482">
        <v>1018.98</v>
      </c>
      <c r="I482" t="s">
        <v>17</v>
      </c>
    </row>
    <row r="483" spans="1:9" x14ac:dyDescent="0.35">
      <c r="A483" t="s">
        <v>985</v>
      </c>
      <c r="B483" t="s">
        <v>986</v>
      </c>
      <c r="C483" s="1">
        <v>45399</v>
      </c>
      <c r="D483" t="s">
        <v>34</v>
      </c>
      <c r="E483" t="s">
        <v>12</v>
      </c>
      <c r="G483">
        <v>55.71</v>
      </c>
      <c r="I483" t="s">
        <v>31</v>
      </c>
    </row>
    <row r="484" spans="1:9" x14ac:dyDescent="0.35">
      <c r="A484" t="s">
        <v>987</v>
      </c>
      <c r="B484" t="s">
        <v>988</v>
      </c>
      <c r="C484" s="1">
        <v>45298</v>
      </c>
      <c r="D484" t="s">
        <v>37</v>
      </c>
      <c r="E484" t="s">
        <v>16</v>
      </c>
      <c r="G484">
        <v>23.49</v>
      </c>
      <c r="I484" t="s">
        <v>21</v>
      </c>
    </row>
    <row r="485" spans="1:9" x14ac:dyDescent="0.35">
      <c r="A485" t="s">
        <v>989</v>
      </c>
      <c r="B485" t="s">
        <v>990</v>
      </c>
      <c r="C485" s="1">
        <v>45279</v>
      </c>
      <c r="D485" t="s">
        <v>34</v>
      </c>
      <c r="E485" t="s">
        <v>28</v>
      </c>
      <c r="F485">
        <v>9</v>
      </c>
      <c r="G485">
        <v>27.12</v>
      </c>
      <c r="H485">
        <v>244.08</v>
      </c>
      <c r="I485" t="s">
        <v>21</v>
      </c>
    </row>
    <row r="486" spans="1:9" x14ac:dyDescent="0.35">
      <c r="A486" t="s">
        <v>991</v>
      </c>
      <c r="B486" t="s">
        <v>992</v>
      </c>
      <c r="C486" s="1">
        <v>45769</v>
      </c>
      <c r="D486" t="s">
        <v>27</v>
      </c>
      <c r="E486" t="s">
        <v>47</v>
      </c>
      <c r="G486">
        <v>99.81</v>
      </c>
      <c r="I486" t="s">
        <v>17</v>
      </c>
    </row>
    <row r="487" spans="1:9" x14ac:dyDescent="0.35">
      <c r="A487" t="s">
        <v>993</v>
      </c>
      <c r="B487" t="s">
        <v>994</v>
      </c>
      <c r="C487" s="1">
        <v>45581</v>
      </c>
      <c r="D487" t="s">
        <v>34</v>
      </c>
      <c r="E487" t="s">
        <v>12</v>
      </c>
      <c r="G487">
        <v>138.71</v>
      </c>
      <c r="I487" t="s">
        <v>17</v>
      </c>
    </row>
    <row r="488" spans="1:9" x14ac:dyDescent="0.35">
      <c r="A488" t="s">
        <v>995</v>
      </c>
      <c r="B488" t="s">
        <v>996</v>
      </c>
      <c r="C488" s="1">
        <v>45353</v>
      </c>
      <c r="D488" t="s">
        <v>34</v>
      </c>
      <c r="E488" t="s">
        <v>47</v>
      </c>
      <c r="G488">
        <v>10.39</v>
      </c>
      <c r="I488" t="s">
        <v>21</v>
      </c>
    </row>
    <row r="489" spans="1:9" x14ac:dyDescent="0.35">
      <c r="A489" t="s">
        <v>997</v>
      </c>
      <c r="B489" t="s">
        <v>998</v>
      </c>
      <c r="C489" s="1">
        <v>45300</v>
      </c>
      <c r="D489" t="s">
        <v>34</v>
      </c>
      <c r="E489" t="s">
        <v>28</v>
      </c>
      <c r="G489">
        <v>40.57</v>
      </c>
      <c r="I489" t="s">
        <v>21</v>
      </c>
    </row>
    <row r="490" spans="1:9" x14ac:dyDescent="0.35">
      <c r="A490" t="s">
        <v>999</v>
      </c>
      <c r="B490" t="s">
        <v>1000</v>
      </c>
      <c r="C490" s="1">
        <v>45649</v>
      </c>
      <c r="D490" t="s">
        <v>20</v>
      </c>
      <c r="E490" t="s">
        <v>28</v>
      </c>
      <c r="G490">
        <v>130.72</v>
      </c>
      <c r="I490" t="s">
        <v>13</v>
      </c>
    </row>
    <row r="491" spans="1:9" x14ac:dyDescent="0.35">
      <c r="A491" t="s">
        <v>1001</v>
      </c>
      <c r="B491" t="s">
        <v>1002</v>
      </c>
      <c r="C491" s="1">
        <v>45473</v>
      </c>
      <c r="D491" t="s">
        <v>11</v>
      </c>
      <c r="E491" t="s">
        <v>47</v>
      </c>
      <c r="F491">
        <v>3</v>
      </c>
      <c r="G491">
        <v>193.61</v>
      </c>
      <c r="H491">
        <v>580.83000000000004</v>
      </c>
      <c r="I491" t="s">
        <v>21</v>
      </c>
    </row>
    <row r="492" spans="1:9" x14ac:dyDescent="0.35">
      <c r="A492" t="s">
        <v>1003</v>
      </c>
      <c r="B492" t="s">
        <v>1004</v>
      </c>
      <c r="C492" s="1">
        <v>45221</v>
      </c>
      <c r="D492" t="s">
        <v>11</v>
      </c>
      <c r="E492" t="s">
        <v>47</v>
      </c>
      <c r="F492">
        <v>8</v>
      </c>
      <c r="G492">
        <v>173.23</v>
      </c>
      <c r="H492">
        <v>1385.84</v>
      </c>
      <c r="I492" t="s">
        <v>17</v>
      </c>
    </row>
    <row r="493" spans="1:9" x14ac:dyDescent="0.35">
      <c r="A493" t="s">
        <v>1005</v>
      </c>
      <c r="B493" t="s">
        <v>1006</v>
      </c>
      <c r="C493" s="1">
        <v>45224</v>
      </c>
      <c r="D493" t="s">
        <v>37</v>
      </c>
      <c r="E493" t="s">
        <v>47</v>
      </c>
      <c r="G493">
        <v>100.77</v>
      </c>
      <c r="I493" t="s">
        <v>21</v>
      </c>
    </row>
    <row r="494" spans="1:9" x14ac:dyDescent="0.35">
      <c r="A494" t="s">
        <v>1007</v>
      </c>
      <c r="B494" t="s">
        <v>1008</v>
      </c>
      <c r="C494" s="1">
        <v>45290</v>
      </c>
      <c r="D494" t="s">
        <v>34</v>
      </c>
      <c r="E494" t="s">
        <v>24</v>
      </c>
      <c r="G494">
        <v>161.16</v>
      </c>
      <c r="I494" t="s">
        <v>31</v>
      </c>
    </row>
    <row r="495" spans="1:9" x14ac:dyDescent="0.35">
      <c r="A495" t="s">
        <v>1009</v>
      </c>
      <c r="B495" t="s">
        <v>1010</v>
      </c>
      <c r="C495" s="1">
        <v>45624</v>
      </c>
      <c r="D495" t="s">
        <v>11</v>
      </c>
      <c r="E495" t="s">
        <v>24</v>
      </c>
      <c r="G495">
        <v>169.23</v>
      </c>
      <c r="I495" t="s">
        <v>13</v>
      </c>
    </row>
    <row r="496" spans="1:9" x14ac:dyDescent="0.35">
      <c r="A496" t="s">
        <v>1011</v>
      </c>
      <c r="B496" t="s">
        <v>1012</v>
      </c>
      <c r="C496" s="1">
        <v>45531</v>
      </c>
      <c r="D496" t="s">
        <v>69</v>
      </c>
      <c r="E496" t="s">
        <v>28</v>
      </c>
      <c r="G496">
        <v>103.1</v>
      </c>
      <c r="I496" t="s">
        <v>17</v>
      </c>
    </row>
    <row r="497" spans="1:9" x14ac:dyDescent="0.35">
      <c r="A497" t="s">
        <v>1013</v>
      </c>
      <c r="B497" t="s">
        <v>1014</v>
      </c>
      <c r="C497" s="1">
        <v>45452</v>
      </c>
      <c r="D497" t="s">
        <v>69</v>
      </c>
      <c r="E497" t="s">
        <v>24</v>
      </c>
      <c r="G497">
        <v>35.51</v>
      </c>
      <c r="I497" t="s">
        <v>17</v>
      </c>
    </row>
    <row r="498" spans="1:9" x14ac:dyDescent="0.35">
      <c r="A498" t="s">
        <v>1015</v>
      </c>
      <c r="B498" t="s">
        <v>1016</v>
      </c>
      <c r="C498" s="1">
        <v>45627</v>
      </c>
      <c r="D498" t="s">
        <v>37</v>
      </c>
      <c r="E498" t="s">
        <v>16</v>
      </c>
      <c r="F498">
        <v>9</v>
      </c>
      <c r="G498">
        <v>181.72</v>
      </c>
      <c r="H498">
        <v>1635.48</v>
      </c>
      <c r="I498" t="s">
        <v>38</v>
      </c>
    </row>
    <row r="499" spans="1:9" x14ac:dyDescent="0.35">
      <c r="A499" t="s">
        <v>1017</v>
      </c>
      <c r="B499" t="s">
        <v>1018</v>
      </c>
      <c r="C499" s="1">
        <v>45604</v>
      </c>
      <c r="D499" t="s">
        <v>20</v>
      </c>
      <c r="E499" t="s">
        <v>24</v>
      </c>
      <c r="G499">
        <v>149.04</v>
      </c>
      <c r="I499" t="s">
        <v>38</v>
      </c>
    </row>
    <row r="500" spans="1:9" x14ac:dyDescent="0.35">
      <c r="A500" t="s">
        <v>1019</v>
      </c>
      <c r="B500" t="s">
        <v>1020</v>
      </c>
      <c r="C500" s="1">
        <v>45494</v>
      </c>
      <c r="D500" t="s">
        <v>37</v>
      </c>
      <c r="E500" t="s">
        <v>28</v>
      </c>
      <c r="F500">
        <v>4</v>
      </c>
      <c r="G500">
        <v>12.52</v>
      </c>
      <c r="H500">
        <v>50.08</v>
      </c>
      <c r="I500" t="s">
        <v>38</v>
      </c>
    </row>
    <row r="501" spans="1:9" x14ac:dyDescent="0.35">
      <c r="A501" t="s">
        <v>1021</v>
      </c>
      <c r="B501" t="s">
        <v>1022</v>
      </c>
      <c r="C501" s="1">
        <v>45637</v>
      </c>
      <c r="D501" t="s">
        <v>20</v>
      </c>
      <c r="E501" t="s">
        <v>12</v>
      </c>
      <c r="F501">
        <v>6</v>
      </c>
      <c r="G501">
        <v>47.86</v>
      </c>
      <c r="H501">
        <v>287.16000000000003</v>
      </c>
      <c r="I501" t="s">
        <v>13</v>
      </c>
    </row>
    <row r="502" spans="1:9" x14ac:dyDescent="0.35">
      <c r="A502" t="s">
        <v>1023</v>
      </c>
      <c r="B502" t="s">
        <v>1024</v>
      </c>
      <c r="C502" s="1">
        <v>45738</v>
      </c>
      <c r="D502" t="s">
        <v>69</v>
      </c>
      <c r="E502" t="s">
        <v>16</v>
      </c>
      <c r="F502">
        <v>3</v>
      </c>
      <c r="G502">
        <v>135.22999999999999</v>
      </c>
      <c r="H502">
        <v>405.69</v>
      </c>
      <c r="I502" t="s">
        <v>21</v>
      </c>
    </row>
    <row r="503" spans="1:9" x14ac:dyDescent="0.35">
      <c r="A503" t="s">
        <v>1025</v>
      </c>
      <c r="B503" t="s">
        <v>1026</v>
      </c>
      <c r="C503" s="1">
        <v>45214</v>
      </c>
      <c r="D503" t="s">
        <v>37</v>
      </c>
      <c r="E503" t="s">
        <v>24</v>
      </c>
      <c r="G503">
        <v>166.18</v>
      </c>
      <c r="I503" t="s">
        <v>38</v>
      </c>
    </row>
    <row r="504" spans="1:9" x14ac:dyDescent="0.35">
      <c r="A504" t="s">
        <v>1027</v>
      </c>
      <c r="B504" t="s">
        <v>1028</v>
      </c>
      <c r="C504" s="1">
        <v>45143</v>
      </c>
      <c r="D504" t="s">
        <v>11</v>
      </c>
      <c r="E504" t="s">
        <v>24</v>
      </c>
      <c r="F504">
        <v>7</v>
      </c>
      <c r="G504">
        <v>29.64</v>
      </c>
      <c r="H504">
        <v>207.48</v>
      </c>
      <c r="I504" t="s">
        <v>13</v>
      </c>
    </row>
    <row r="505" spans="1:9" x14ac:dyDescent="0.35">
      <c r="A505" t="s">
        <v>1029</v>
      </c>
      <c r="B505" t="s">
        <v>1030</v>
      </c>
      <c r="C505" s="1">
        <v>45611</v>
      </c>
      <c r="D505" t="s">
        <v>20</v>
      </c>
      <c r="E505" t="s">
        <v>47</v>
      </c>
      <c r="F505">
        <v>3</v>
      </c>
      <c r="G505">
        <v>183.57</v>
      </c>
      <c r="H505">
        <v>550.71</v>
      </c>
      <c r="I505" t="s">
        <v>52</v>
      </c>
    </row>
    <row r="506" spans="1:9" x14ac:dyDescent="0.35">
      <c r="A506" t="s">
        <v>1031</v>
      </c>
      <c r="B506" t="s">
        <v>1032</v>
      </c>
      <c r="C506" s="1">
        <v>45701</v>
      </c>
      <c r="D506" t="s">
        <v>37</v>
      </c>
      <c r="E506" t="s">
        <v>16</v>
      </c>
      <c r="G506">
        <v>50.73</v>
      </c>
      <c r="I506" t="s">
        <v>38</v>
      </c>
    </row>
    <row r="507" spans="1:9" x14ac:dyDescent="0.35">
      <c r="A507" t="s">
        <v>1033</v>
      </c>
      <c r="B507" t="s">
        <v>1034</v>
      </c>
      <c r="C507" s="1">
        <v>45410</v>
      </c>
      <c r="D507" t="s">
        <v>34</v>
      </c>
      <c r="E507" t="s">
        <v>12</v>
      </c>
      <c r="G507">
        <v>43.83</v>
      </c>
      <c r="I507" t="s">
        <v>21</v>
      </c>
    </row>
    <row r="508" spans="1:9" x14ac:dyDescent="0.35">
      <c r="A508" t="s">
        <v>1035</v>
      </c>
      <c r="B508" t="s">
        <v>1036</v>
      </c>
      <c r="C508" s="1">
        <v>45072</v>
      </c>
      <c r="D508" t="s">
        <v>20</v>
      </c>
      <c r="E508" t="s">
        <v>24</v>
      </c>
      <c r="F508">
        <v>2</v>
      </c>
      <c r="G508">
        <v>56.06</v>
      </c>
      <c r="H508">
        <v>112.12</v>
      </c>
      <c r="I508" t="s">
        <v>52</v>
      </c>
    </row>
    <row r="509" spans="1:9" x14ac:dyDescent="0.35">
      <c r="A509" t="s">
        <v>1037</v>
      </c>
      <c r="B509" t="s">
        <v>1038</v>
      </c>
      <c r="C509" s="1">
        <v>45662</v>
      </c>
      <c r="D509" t="s">
        <v>34</v>
      </c>
      <c r="E509" t="s">
        <v>28</v>
      </c>
      <c r="G509">
        <v>85.64</v>
      </c>
      <c r="I509" t="s">
        <v>38</v>
      </c>
    </row>
    <row r="510" spans="1:9" x14ac:dyDescent="0.35">
      <c r="A510" t="s">
        <v>1039</v>
      </c>
      <c r="B510" t="s">
        <v>1040</v>
      </c>
      <c r="C510" s="1">
        <v>45516</v>
      </c>
      <c r="D510" t="s">
        <v>11</v>
      </c>
      <c r="E510" t="s">
        <v>24</v>
      </c>
      <c r="G510">
        <v>164.61</v>
      </c>
      <c r="I510" t="s">
        <v>13</v>
      </c>
    </row>
    <row r="511" spans="1:9" x14ac:dyDescent="0.35">
      <c r="A511" t="s">
        <v>1041</v>
      </c>
      <c r="B511" t="s">
        <v>1042</v>
      </c>
      <c r="C511" s="1">
        <v>45727</v>
      </c>
      <c r="D511" t="s">
        <v>37</v>
      </c>
      <c r="E511" t="s">
        <v>24</v>
      </c>
      <c r="G511">
        <v>60.41</v>
      </c>
      <c r="I511" t="s">
        <v>38</v>
      </c>
    </row>
    <row r="512" spans="1:9" x14ac:dyDescent="0.35">
      <c r="A512" t="s">
        <v>1043</v>
      </c>
      <c r="B512" t="s">
        <v>1044</v>
      </c>
      <c r="C512" s="1">
        <v>45261</v>
      </c>
      <c r="D512" t="s">
        <v>11</v>
      </c>
      <c r="E512" t="s">
        <v>47</v>
      </c>
      <c r="G512">
        <v>159.32</v>
      </c>
      <c r="I512" t="s">
        <v>21</v>
      </c>
    </row>
    <row r="513" spans="1:9" x14ac:dyDescent="0.35">
      <c r="A513" t="s">
        <v>1045</v>
      </c>
      <c r="B513" t="s">
        <v>1046</v>
      </c>
      <c r="C513" s="1">
        <v>45680</v>
      </c>
      <c r="D513" t="s">
        <v>34</v>
      </c>
      <c r="E513" t="s">
        <v>28</v>
      </c>
      <c r="G513">
        <v>189.23</v>
      </c>
      <c r="I513" t="s">
        <v>52</v>
      </c>
    </row>
    <row r="514" spans="1:9" x14ac:dyDescent="0.35">
      <c r="A514" t="s">
        <v>1047</v>
      </c>
      <c r="B514" t="s">
        <v>1048</v>
      </c>
      <c r="C514" s="1">
        <v>45658</v>
      </c>
      <c r="D514" t="s">
        <v>20</v>
      </c>
      <c r="E514" t="s">
        <v>12</v>
      </c>
      <c r="F514">
        <v>3</v>
      </c>
      <c r="G514">
        <v>127.17</v>
      </c>
      <c r="I514" t="s">
        <v>21</v>
      </c>
    </row>
    <row r="515" spans="1:9" x14ac:dyDescent="0.35">
      <c r="A515" t="s">
        <v>1049</v>
      </c>
      <c r="B515" t="s">
        <v>1050</v>
      </c>
      <c r="C515" s="1">
        <v>45349</v>
      </c>
      <c r="D515" t="s">
        <v>34</v>
      </c>
      <c r="E515" t="s">
        <v>16</v>
      </c>
      <c r="G515">
        <v>170.75</v>
      </c>
      <c r="I515" t="s">
        <v>17</v>
      </c>
    </row>
    <row r="516" spans="1:9" x14ac:dyDescent="0.35">
      <c r="A516" t="s">
        <v>1051</v>
      </c>
      <c r="B516" t="s">
        <v>1052</v>
      </c>
      <c r="C516" s="1">
        <v>45519</v>
      </c>
      <c r="D516" t="s">
        <v>37</v>
      </c>
      <c r="E516" t="s">
        <v>16</v>
      </c>
      <c r="F516">
        <v>1</v>
      </c>
      <c r="G516">
        <v>135.19999999999999</v>
      </c>
      <c r="H516">
        <v>135.19999999999999</v>
      </c>
      <c r="I516" t="s">
        <v>13</v>
      </c>
    </row>
    <row r="517" spans="1:9" x14ac:dyDescent="0.35">
      <c r="A517" t="s">
        <v>1053</v>
      </c>
      <c r="B517" t="s">
        <v>1054</v>
      </c>
      <c r="C517" s="1">
        <v>45134</v>
      </c>
      <c r="D517" t="s">
        <v>27</v>
      </c>
      <c r="E517" t="s">
        <v>16</v>
      </c>
      <c r="F517">
        <v>9</v>
      </c>
      <c r="G517">
        <v>147.30000000000001</v>
      </c>
      <c r="H517">
        <v>1325.7</v>
      </c>
      <c r="I517" t="s">
        <v>38</v>
      </c>
    </row>
    <row r="518" spans="1:9" x14ac:dyDescent="0.35">
      <c r="A518" t="s">
        <v>1055</v>
      </c>
      <c r="B518" t="s">
        <v>1056</v>
      </c>
      <c r="C518" s="1">
        <v>45324</v>
      </c>
      <c r="D518" t="s">
        <v>37</v>
      </c>
      <c r="E518" t="s">
        <v>12</v>
      </c>
      <c r="G518">
        <v>120.87</v>
      </c>
      <c r="I518" t="s">
        <v>52</v>
      </c>
    </row>
    <row r="519" spans="1:9" x14ac:dyDescent="0.35">
      <c r="A519" t="s">
        <v>1057</v>
      </c>
      <c r="B519" t="s">
        <v>1058</v>
      </c>
      <c r="C519" s="1">
        <v>45116</v>
      </c>
      <c r="D519" t="s">
        <v>37</v>
      </c>
      <c r="E519" t="s">
        <v>24</v>
      </c>
      <c r="F519">
        <v>1</v>
      </c>
      <c r="G519">
        <v>153.03</v>
      </c>
      <c r="H519">
        <v>153.03</v>
      </c>
      <c r="I519" t="s">
        <v>21</v>
      </c>
    </row>
    <row r="520" spans="1:9" x14ac:dyDescent="0.35">
      <c r="A520" t="s">
        <v>1059</v>
      </c>
      <c r="B520" t="s">
        <v>1060</v>
      </c>
      <c r="C520" s="1">
        <v>45271</v>
      </c>
      <c r="D520" t="s">
        <v>37</v>
      </c>
      <c r="E520" t="s">
        <v>47</v>
      </c>
      <c r="G520">
        <v>30.43</v>
      </c>
      <c r="I520" t="s">
        <v>13</v>
      </c>
    </row>
    <row r="521" spans="1:9" x14ac:dyDescent="0.35">
      <c r="A521" t="s">
        <v>1061</v>
      </c>
      <c r="B521" t="s">
        <v>1062</v>
      </c>
      <c r="C521" s="1">
        <v>45635</v>
      </c>
      <c r="D521" t="s">
        <v>11</v>
      </c>
      <c r="E521" t="s">
        <v>12</v>
      </c>
      <c r="G521">
        <v>105.75</v>
      </c>
      <c r="I521" t="s">
        <v>52</v>
      </c>
    </row>
    <row r="522" spans="1:9" x14ac:dyDescent="0.35">
      <c r="A522" t="s">
        <v>1063</v>
      </c>
      <c r="B522" t="s">
        <v>1064</v>
      </c>
      <c r="C522" s="1">
        <v>45293</v>
      </c>
      <c r="D522" t="s">
        <v>11</v>
      </c>
      <c r="E522" t="s">
        <v>12</v>
      </c>
      <c r="G522">
        <v>37.840000000000003</v>
      </c>
      <c r="I522" t="s">
        <v>17</v>
      </c>
    </row>
    <row r="523" spans="1:9" x14ac:dyDescent="0.35">
      <c r="A523" t="s">
        <v>1065</v>
      </c>
      <c r="B523" t="s">
        <v>1066</v>
      </c>
      <c r="C523" s="1">
        <v>45355</v>
      </c>
      <c r="D523" t="s">
        <v>11</v>
      </c>
      <c r="E523" t="s">
        <v>12</v>
      </c>
      <c r="F523">
        <v>5</v>
      </c>
      <c r="G523">
        <v>165.84</v>
      </c>
      <c r="I523" t="s">
        <v>17</v>
      </c>
    </row>
    <row r="524" spans="1:9" x14ac:dyDescent="0.35">
      <c r="A524" t="s">
        <v>1067</v>
      </c>
      <c r="B524" t="s">
        <v>1068</v>
      </c>
      <c r="C524" s="1">
        <v>45712</v>
      </c>
      <c r="D524" t="s">
        <v>11</v>
      </c>
      <c r="E524" t="s">
        <v>24</v>
      </c>
      <c r="F524">
        <v>6</v>
      </c>
      <c r="G524">
        <v>16.52</v>
      </c>
      <c r="H524">
        <v>99.12</v>
      </c>
      <c r="I524" t="s">
        <v>52</v>
      </c>
    </row>
    <row r="525" spans="1:9" x14ac:dyDescent="0.35">
      <c r="A525" t="s">
        <v>1069</v>
      </c>
      <c r="B525" t="s">
        <v>1070</v>
      </c>
      <c r="C525" s="1">
        <v>45552</v>
      </c>
      <c r="D525" t="s">
        <v>20</v>
      </c>
      <c r="E525" t="s">
        <v>47</v>
      </c>
      <c r="G525">
        <v>99.1</v>
      </c>
      <c r="I525" t="s">
        <v>52</v>
      </c>
    </row>
    <row r="526" spans="1:9" x14ac:dyDescent="0.35">
      <c r="A526" t="s">
        <v>1071</v>
      </c>
      <c r="B526" t="s">
        <v>1072</v>
      </c>
      <c r="C526" s="1">
        <v>45145</v>
      </c>
      <c r="D526" t="s">
        <v>37</v>
      </c>
      <c r="E526" t="s">
        <v>24</v>
      </c>
      <c r="F526">
        <v>5</v>
      </c>
      <c r="G526">
        <v>36.6</v>
      </c>
      <c r="H526">
        <v>183</v>
      </c>
      <c r="I526" t="s">
        <v>31</v>
      </c>
    </row>
    <row r="527" spans="1:9" x14ac:dyDescent="0.35">
      <c r="A527" t="s">
        <v>1073</v>
      </c>
      <c r="B527" t="s">
        <v>1074</v>
      </c>
      <c r="C527" s="1">
        <v>45598</v>
      </c>
      <c r="D527" t="s">
        <v>11</v>
      </c>
      <c r="E527" t="s">
        <v>24</v>
      </c>
      <c r="F527">
        <v>4</v>
      </c>
      <c r="G527">
        <v>121.12</v>
      </c>
      <c r="H527">
        <v>484.48</v>
      </c>
      <c r="I527" t="s">
        <v>38</v>
      </c>
    </row>
    <row r="528" spans="1:9" x14ac:dyDescent="0.35">
      <c r="A528" t="s">
        <v>1075</v>
      </c>
      <c r="B528" t="s">
        <v>1076</v>
      </c>
      <c r="C528" s="1">
        <v>45304</v>
      </c>
      <c r="D528" t="s">
        <v>69</v>
      </c>
      <c r="E528" t="s">
        <v>24</v>
      </c>
      <c r="F528">
        <v>3</v>
      </c>
      <c r="G528">
        <v>161.44</v>
      </c>
      <c r="H528">
        <v>484.32</v>
      </c>
      <c r="I528" t="s">
        <v>31</v>
      </c>
    </row>
    <row r="529" spans="1:9" x14ac:dyDescent="0.35">
      <c r="A529" t="s">
        <v>1077</v>
      </c>
      <c r="B529" t="s">
        <v>1078</v>
      </c>
      <c r="C529" s="1">
        <v>45269</v>
      </c>
      <c r="D529" t="s">
        <v>69</v>
      </c>
      <c r="E529" t="s">
        <v>12</v>
      </c>
      <c r="G529">
        <v>39.67</v>
      </c>
      <c r="I529" t="s">
        <v>38</v>
      </c>
    </row>
    <row r="530" spans="1:9" x14ac:dyDescent="0.35">
      <c r="A530" t="s">
        <v>1079</v>
      </c>
      <c r="B530" t="s">
        <v>1080</v>
      </c>
      <c r="C530" s="1">
        <v>45298</v>
      </c>
      <c r="D530" t="s">
        <v>27</v>
      </c>
      <c r="E530" t="s">
        <v>28</v>
      </c>
      <c r="F530">
        <v>4</v>
      </c>
      <c r="G530">
        <v>41.14</v>
      </c>
      <c r="H530">
        <v>164.56</v>
      </c>
      <c r="I530" t="s">
        <v>13</v>
      </c>
    </row>
    <row r="531" spans="1:9" x14ac:dyDescent="0.35">
      <c r="A531" t="s">
        <v>1081</v>
      </c>
      <c r="B531" t="s">
        <v>1082</v>
      </c>
      <c r="C531" s="1">
        <v>45648</v>
      </c>
      <c r="D531" t="s">
        <v>37</v>
      </c>
      <c r="E531" t="s">
        <v>16</v>
      </c>
      <c r="F531">
        <v>9</v>
      </c>
      <c r="G531">
        <v>69.81</v>
      </c>
      <c r="H531">
        <v>628.29</v>
      </c>
      <c r="I531" t="s">
        <v>21</v>
      </c>
    </row>
    <row r="532" spans="1:9" x14ac:dyDescent="0.35">
      <c r="A532" t="s">
        <v>1083</v>
      </c>
      <c r="B532" t="s">
        <v>1084</v>
      </c>
      <c r="C532" s="1">
        <v>45499</v>
      </c>
      <c r="D532" t="s">
        <v>69</v>
      </c>
      <c r="E532" t="s">
        <v>12</v>
      </c>
      <c r="G532">
        <v>20.39</v>
      </c>
      <c r="I532" t="s">
        <v>52</v>
      </c>
    </row>
    <row r="533" spans="1:9" x14ac:dyDescent="0.35">
      <c r="A533" t="s">
        <v>1085</v>
      </c>
      <c r="B533" t="s">
        <v>1086</v>
      </c>
      <c r="C533" s="1">
        <v>45363</v>
      </c>
      <c r="D533" t="s">
        <v>69</v>
      </c>
      <c r="E533" t="s">
        <v>47</v>
      </c>
      <c r="F533">
        <v>9</v>
      </c>
      <c r="G533">
        <v>51.68</v>
      </c>
      <c r="H533">
        <v>465.12</v>
      </c>
      <c r="I533" t="s">
        <v>38</v>
      </c>
    </row>
    <row r="534" spans="1:9" x14ac:dyDescent="0.35">
      <c r="A534" t="s">
        <v>1087</v>
      </c>
      <c r="B534" t="s">
        <v>1088</v>
      </c>
      <c r="C534" s="1">
        <v>45216</v>
      </c>
      <c r="D534" t="s">
        <v>27</v>
      </c>
      <c r="E534" t="s">
        <v>16</v>
      </c>
      <c r="F534">
        <v>1</v>
      </c>
      <c r="G534">
        <v>102.33</v>
      </c>
      <c r="H534">
        <v>102.33</v>
      </c>
      <c r="I534" t="s">
        <v>13</v>
      </c>
    </row>
    <row r="535" spans="1:9" x14ac:dyDescent="0.35">
      <c r="A535" t="s">
        <v>1089</v>
      </c>
      <c r="B535" t="s">
        <v>1090</v>
      </c>
      <c r="C535" s="1">
        <v>45128</v>
      </c>
      <c r="D535" t="s">
        <v>11</v>
      </c>
      <c r="E535" t="s">
        <v>28</v>
      </c>
      <c r="G535">
        <v>78.88</v>
      </c>
      <c r="I535" t="s">
        <v>31</v>
      </c>
    </row>
    <row r="536" spans="1:9" x14ac:dyDescent="0.35">
      <c r="A536" t="s">
        <v>1091</v>
      </c>
      <c r="B536" t="s">
        <v>1092</v>
      </c>
      <c r="C536" s="1">
        <v>45474</v>
      </c>
      <c r="D536" t="s">
        <v>69</v>
      </c>
      <c r="E536" t="s">
        <v>28</v>
      </c>
      <c r="G536">
        <v>142.84</v>
      </c>
      <c r="I536" t="s">
        <v>17</v>
      </c>
    </row>
    <row r="537" spans="1:9" x14ac:dyDescent="0.35">
      <c r="A537" t="s">
        <v>1093</v>
      </c>
      <c r="B537" t="s">
        <v>1094</v>
      </c>
      <c r="C537" s="1">
        <v>45332</v>
      </c>
      <c r="D537" t="s">
        <v>20</v>
      </c>
      <c r="E537" t="s">
        <v>16</v>
      </c>
      <c r="G537">
        <v>149.83000000000001</v>
      </c>
      <c r="I537" t="s">
        <v>52</v>
      </c>
    </row>
    <row r="538" spans="1:9" x14ac:dyDescent="0.35">
      <c r="A538" t="s">
        <v>1095</v>
      </c>
      <c r="B538" t="s">
        <v>1096</v>
      </c>
      <c r="C538" s="1">
        <v>45129</v>
      </c>
      <c r="D538" t="s">
        <v>11</v>
      </c>
      <c r="E538" t="s">
        <v>47</v>
      </c>
      <c r="F538">
        <v>6</v>
      </c>
      <c r="G538">
        <v>31.26</v>
      </c>
      <c r="H538">
        <v>187.56</v>
      </c>
      <c r="I538" t="s">
        <v>52</v>
      </c>
    </row>
    <row r="539" spans="1:9" x14ac:dyDescent="0.35">
      <c r="A539" t="s">
        <v>1097</v>
      </c>
      <c r="B539" t="s">
        <v>1098</v>
      </c>
      <c r="C539" s="1">
        <v>45097</v>
      </c>
      <c r="D539" t="s">
        <v>34</v>
      </c>
      <c r="E539" t="s">
        <v>28</v>
      </c>
      <c r="G539">
        <v>94.81</v>
      </c>
      <c r="I539" t="s">
        <v>17</v>
      </c>
    </row>
    <row r="540" spans="1:9" x14ac:dyDescent="0.35">
      <c r="A540" t="s">
        <v>1099</v>
      </c>
      <c r="B540" t="s">
        <v>1100</v>
      </c>
      <c r="C540" s="1">
        <v>45408</v>
      </c>
      <c r="D540" t="s">
        <v>37</v>
      </c>
      <c r="E540" t="s">
        <v>12</v>
      </c>
      <c r="G540">
        <v>197.97</v>
      </c>
      <c r="I540" t="s">
        <v>17</v>
      </c>
    </row>
    <row r="541" spans="1:9" x14ac:dyDescent="0.35">
      <c r="A541" t="s">
        <v>1101</v>
      </c>
      <c r="B541" t="s">
        <v>1102</v>
      </c>
      <c r="C541" s="1">
        <v>45347</v>
      </c>
      <c r="D541" t="s">
        <v>20</v>
      </c>
      <c r="E541" t="s">
        <v>12</v>
      </c>
      <c r="F541">
        <v>9</v>
      </c>
      <c r="G541">
        <v>131.15</v>
      </c>
      <c r="H541">
        <v>1180.3499999999999</v>
      </c>
      <c r="I541" t="s">
        <v>31</v>
      </c>
    </row>
    <row r="542" spans="1:9" x14ac:dyDescent="0.35">
      <c r="A542" t="s">
        <v>1103</v>
      </c>
      <c r="B542" t="s">
        <v>1104</v>
      </c>
      <c r="C542" s="1">
        <v>45245</v>
      </c>
      <c r="D542" t="s">
        <v>37</v>
      </c>
      <c r="E542" t="s">
        <v>12</v>
      </c>
      <c r="F542">
        <v>8</v>
      </c>
      <c r="G542">
        <v>177.37</v>
      </c>
      <c r="H542">
        <v>1418.96</v>
      </c>
      <c r="I542" t="s">
        <v>52</v>
      </c>
    </row>
    <row r="543" spans="1:9" x14ac:dyDescent="0.35">
      <c r="A543" t="s">
        <v>1105</v>
      </c>
      <c r="B543" t="s">
        <v>1106</v>
      </c>
      <c r="C543" s="1">
        <v>45218</v>
      </c>
      <c r="D543" t="s">
        <v>34</v>
      </c>
      <c r="E543" t="s">
        <v>16</v>
      </c>
      <c r="G543">
        <v>56.71</v>
      </c>
      <c r="I543" t="s">
        <v>17</v>
      </c>
    </row>
    <row r="544" spans="1:9" x14ac:dyDescent="0.35">
      <c r="A544" t="s">
        <v>1107</v>
      </c>
      <c r="B544" t="s">
        <v>1108</v>
      </c>
      <c r="C544" s="1">
        <v>45058</v>
      </c>
      <c r="D544" t="s">
        <v>69</v>
      </c>
      <c r="E544" t="s">
        <v>12</v>
      </c>
      <c r="G544">
        <v>149.19999999999999</v>
      </c>
      <c r="I544" t="s">
        <v>21</v>
      </c>
    </row>
    <row r="545" spans="1:9" x14ac:dyDescent="0.35">
      <c r="A545" t="s">
        <v>1109</v>
      </c>
      <c r="B545" t="s">
        <v>1110</v>
      </c>
      <c r="C545" s="1">
        <v>45759</v>
      </c>
      <c r="D545" t="s">
        <v>27</v>
      </c>
      <c r="E545" t="s">
        <v>16</v>
      </c>
      <c r="G545">
        <v>71.69</v>
      </c>
      <c r="I545" t="s">
        <v>17</v>
      </c>
    </row>
    <row r="546" spans="1:9" x14ac:dyDescent="0.35">
      <c r="A546" t="s">
        <v>1111</v>
      </c>
      <c r="B546" t="s">
        <v>1112</v>
      </c>
      <c r="C546" s="1">
        <v>45571</v>
      </c>
      <c r="D546" t="s">
        <v>34</v>
      </c>
      <c r="E546" t="s">
        <v>24</v>
      </c>
      <c r="F546">
        <v>8</v>
      </c>
      <c r="G546">
        <v>198.76</v>
      </c>
      <c r="H546">
        <v>1590.08</v>
      </c>
      <c r="I546" t="s">
        <v>17</v>
      </c>
    </row>
    <row r="547" spans="1:9" x14ac:dyDescent="0.35">
      <c r="A547" t="s">
        <v>1113</v>
      </c>
      <c r="B547" t="s">
        <v>1114</v>
      </c>
      <c r="C547" s="1">
        <v>45221</v>
      </c>
      <c r="D547" t="s">
        <v>20</v>
      </c>
      <c r="E547" t="s">
        <v>28</v>
      </c>
      <c r="F547">
        <v>4</v>
      </c>
      <c r="G547">
        <v>186.15</v>
      </c>
      <c r="H547">
        <v>744.6</v>
      </c>
      <c r="I547" t="s">
        <v>31</v>
      </c>
    </row>
    <row r="548" spans="1:9" x14ac:dyDescent="0.35">
      <c r="A548" t="s">
        <v>1115</v>
      </c>
      <c r="B548" t="s">
        <v>1116</v>
      </c>
      <c r="C548" s="1">
        <v>45360</v>
      </c>
      <c r="D548" t="s">
        <v>34</v>
      </c>
      <c r="E548" t="s">
        <v>12</v>
      </c>
      <c r="F548">
        <v>8</v>
      </c>
      <c r="G548">
        <v>142.13999999999999</v>
      </c>
      <c r="H548">
        <v>1137.1199999999999</v>
      </c>
      <c r="I548" t="s">
        <v>38</v>
      </c>
    </row>
    <row r="549" spans="1:9" x14ac:dyDescent="0.35">
      <c r="A549" t="s">
        <v>1117</v>
      </c>
      <c r="B549" t="s">
        <v>1118</v>
      </c>
      <c r="C549" s="1">
        <v>45220</v>
      </c>
      <c r="D549" t="s">
        <v>34</v>
      </c>
      <c r="E549" t="s">
        <v>28</v>
      </c>
      <c r="F549">
        <v>2</v>
      </c>
      <c r="G549">
        <v>138.65</v>
      </c>
      <c r="H549">
        <v>277.3</v>
      </c>
      <c r="I549" t="s">
        <v>52</v>
      </c>
    </row>
    <row r="550" spans="1:9" x14ac:dyDescent="0.35">
      <c r="A550" t="s">
        <v>1119</v>
      </c>
      <c r="B550" t="s">
        <v>1120</v>
      </c>
      <c r="C550" s="1">
        <v>45275</v>
      </c>
      <c r="D550" t="s">
        <v>34</v>
      </c>
      <c r="E550" t="s">
        <v>28</v>
      </c>
      <c r="F550">
        <v>5</v>
      </c>
      <c r="G550">
        <v>57.97</v>
      </c>
      <c r="H550">
        <v>289.85000000000002</v>
      </c>
      <c r="I550" t="s">
        <v>38</v>
      </c>
    </row>
    <row r="551" spans="1:9" x14ac:dyDescent="0.35">
      <c r="A551" t="s">
        <v>1121</v>
      </c>
      <c r="B551" t="s">
        <v>1122</v>
      </c>
      <c r="C551" s="1">
        <v>45195</v>
      </c>
      <c r="D551" t="s">
        <v>34</v>
      </c>
      <c r="E551" t="s">
        <v>12</v>
      </c>
      <c r="G551">
        <v>49.34</v>
      </c>
      <c r="I551" t="s">
        <v>52</v>
      </c>
    </row>
    <row r="552" spans="1:9" x14ac:dyDescent="0.35">
      <c r="A552" t="s">
        <v>1123</v>
      </c>
      <c r="B552" t="s">
        <v>1124</v>
      </c>
      <c r="C552" s="1">
        <v>45764</v>
      </c>
      <c r="D552" t="s">
        <v>11</v>
      </c>
      <c r="E552" t="s">
        <v>16</v>
      </c>
      <c r="G552">
        <v>185.54</v>
      </c>
      <c r="I552" t="s">
        <v>31</v>
      </c>
    </row>
    <row r="553" spans="1:9" x14ac:dyDescent="0.35">
      <c r="A553" t="s">
        <v>1125</v>
      </c>
      <c r="B553" t="s">
        <v>1126</v>
      </c>
      <c r="C553" s="1">
        <v>45642</v>
      </c>
      <c r="D553" t="s">
        <v>34</v>
      </c>
      <c r="E553" t="s">
        <v>47</v>
      </c>
      <c r="F553">
        <v>6</v>
      </c>
      <c r="G553">
        <v>149</v>
      </c>
      <c r="I553" t="s">
        <v>17</v>
      </c>
    </row>
    <row r="554" spans="1:9" x14ac:dyDescent="0.35">
      <c r="A554" t="s">
        <v>1127</v>
      </c>
      <c r="B554" t="s">
        <v>1128</v>
      </c>
      <c r="C554" s="1">
        <v>45114</v>
      </c>
      <c r="D554" t="s">
        <v>27</v>
      </c>
      <c r="E554" t="s">
        <v>28</v>
      </c>
      <c r="F554">
        <v>1</v>
      </c>
      <c r="G554">
        <v>87.62</v>
      </c>
      <c r="I554" t="s">
        <v>17</v>
      </c>
    </row>
    <row r="555" spans="1:9" x14ac:dyDescent="0.35">
      <c r="A555" t="s">
        <v>1129</v>
      </c>
      <c r="B555" t="s">
        <v>1130</v>
      </c>
      <c r="C555" s="1">
        <v>45331</v>
      </c>
      <c r="D555" t="s">
        <v>20</v>
      </c>
      <c r="E555" t="s">
        <v>16</v>
      </c>
      <c r="G555">
        <v>63.94</v>
      </c>
      <c r="I555" t="s">
        <v>21</v>
      </c>
    </row>
    <row r="556" spans="1:9" x14ac:dyDescent="0.35">
      <c r="A556" t="s">
        <v>1131</v>
      </c>
      <c r="B556" t="s">
        <v>1132</v>
      </c>
      <c r="C556" s="1">
        <v>45210</v>
      </c>
      <c r="D556" t="s">
        <v>37</v>
      </c>
      <c r="E556" t="s">
        <v>28</v>
      </c>
      <c r="G556">
        <v>96.64</v>
      </c>
      <c r="I556" t="s">
        <v>21</v>
      </c>
    </row>
    <row r="557" spans="1:9" x14ac:dyDescent="0.35">
      <c r="A557" t="s">
        <v>1133</v>
      </c>
      <c r="B557" t="s">
        <v>1134</v>
      </c>
      <c r="C557" s="1">
        <v>45430</v>
      </c>
      <c r="D557" t="s">
        <v>11</v>
      </c>
      <c r="E557" t="s">
        <v>47</v>
      </c>
      <c r="F557">
        <v>5</v>
      </c>
      <c r="G557">
        <v>50.63</v>
      </c>
      <c r="H557">
        <v>253.15</v>
      </c>
      <c r="I557" t="s">
        <v>13</v>
      </c>
    </row>
    <row r="558" spans="1:9" x14ac:dyDescent="0.35">
      <c r="A558" t="s">
        <v>1135</v>
      </c>
      <c r="B558" t="s">
        <v>1136</v>
      </c>
      <c r="C558" s="1">
        <v>45266</v>
      </c>
      <c r="D558" t="s">
        <v>37</v>
      </c>
      <c r="E558" t="s">
        <v>28</v>
      </c>
      <c r="G558">
        <v>101.9</v>
      </c>
      <c r="I558" t="s">
        <v>52</v>
      </c>
    </row>
    <row r="559" spans="1:9" x14ac:dyDescent="0.35">
      <c r="A559" t="s">
        <v>1137</v>
      </c>
      <c r="B559" t="s">
        <v>1138</v>
      </c>
      <c r="C559" s="1">
        <v>45265</v>
      </c>
      <c r="D559" t="s">
        <v>37</v>
      </c>
      <c r="E559" t="s">
        <v>47</v>
      </c>
      <c r="F559">
        <v>3</v>
      </c>
      <c r="G559">
        <v>114.23</v>
      </c>
      <c r="H559">
        <v>342.69</v>
      </c>
      <c r="I559" t="s">
        <v>13</v>
      </c>
    </row>
    <row r="560" spans="1:9" x14ac:dyDescent="0.35">
      <c r="A560" t="s">
        <v>1139</v>
      </c>
      <c r="B560" t="s">
        <v>1140</v>
      </c>
      <c r="C560" s="1">
        <v>45219</v>
      </c>
      <c r="D560" t="s">
        <v>37</v>
      </c>
      <c r="E560" t="s">
        <v>28</v>
      </c>
      <c r="G560">
        <v>99.74</v>
      </c>
      <c r="I560" t="s">
        <v>31</v>
      </c>
    </row>
    <row r="561" spans="1:9" x14ac:dyDescent="0.35">
      <c r="A561" t="s">
        <v>1141</v>
      </c>
      <c r="B561" t="s">
        <v>1142</v>
      </c>
      <c r="C561" s="1">
        <v>45577</v>
      </c>
      <c r="D561" t="s">
        <v>27</v>
      </c>
      <c r="E561" t="s">
        <v>28</v>
      </c>
      <c r="F561">
        <v>2</v>
      </c>
      <c r="G561">
        <v>46.13</v>
      </c>
      <c r="H561">
        <v>92.26</v>
      </c>
      <c r="I561" t="s">
        <v>38</v>
      </c>
    </row>
    <row r="562" spans="1:9" x14ac:dyDescent="0.35">
      <c r="A562" t="s">
        <v>1143</v>
      </c>
      <c r="B562" t="s">
        <v>1144</v>
      </c>
      <c r="C562" s="1">
        <v>45189</v>
      </c>
      <c r="D562" t="s">
        <v>20</v>
      </c>
      <c r="E562" t="s">
        <v>16</v>
      </c>
      <c r="F562">
        <v>3</v>
      </c>
      <c r="G562">
        <v>180.74</v>
      </c>
      <c r="H562">
        <v>542.22</v>
      </c>
      <c r="I562" t="s">
        <v>38</v>
      </c>
    </row>
    <row r="563" spans="1:9" x14ac:dyDescent="0.35">
      <c r="A563" t="s">
        <v>1145</v>
      </c>
      <c r="B563" t="s">
        <v>1146</v>
      </c>
      <c r="C563" s="1">
        <v>45171</v>
      </c>
      <c r="D563" t="s">
        <v>27</v>
      </c>
      <c r="E563" t="s">
        <v>12</v>
      </c>
      <c r="G563">
        <v>20.59</v>
      </c>
      <c r="I563" t="s">
        <v>13</v>
      </c>
    </row>
    <row r="564" spans="1:9" x14ac:dyDescent="0.35">
      <c r="A564" t="s">
        <v>1147</v>
      </c>
      <c r="B564" t="s">
        <v>1148</v>
      </c>
      <c r="C564" s="1">
        <v>45566</v>
      </c>
      <c r="D564" t="s">
        <v>34</v>
      </c>
      <c r="E564" t="s">
        <v>24</v>
      </c>
      <c r="F564">
        <v>9</v>
      </c>
      <c r="G564">
        <v>167.78</v>
      </c>
      <c r="H564">
        <v>1510.02</v>
      </c>
      <c r="I564" t="s">
        <v>21</v>
      </c>
    </row>
    <row r="565" spans="1:9" x14ac:dyDescent="0.35">
      <c r="A565" t="s">
        <v>1149</v>
      </c>
      <c r="B565" t="s">
        <v>1150</v>
      </c>
      <c r="C565" s="1">
        <v>45251</v>
      </c>
      <c r="D565" t="s">
        <v>34</v>
      </c>
      <c r="E565" t="s">
        <v>47</v>
      </c>
      <c r="F565">
        <v>2</v>
      </c>
      <c r="G565">
        <v>114.61</v>
      </c>
      <c r="H565">
        <v>229.22</v>
      </c>
      <c r="I565" t="s">
        <v>21</v>
      </c>
    </row>
    <row r="566" spans="1:9" x14ac:dyDescent="0.35">
      <c r="A566" t="s">
        <v>1151</v>
      </c>
      <c r="B566" t="s">
        <v>1152</v>
      </c>
      <c r="C566" s="1">
        <v>45523</v>
      </c>
      <c r="D566" t="s">
        <v>37</v>
      </c>
      <c r="E566" t="s">
        <v>47</v>
      </c>
      <c r="F566">
        <v>8</v>
      </c>
      <c r="G566">
        <v>178.41</v>
      </c>
      <c r="H566">
        <v>1427.28</v>
      </c>
      <c r="I566" t="s">
        <v>17</v>
      </c>
    </row>
    <row r="567" spans="1:9" x14ac:dyDescent="0.35">
      <c r="A567" t="s">
        <v>1153</v>
      </c>
      <c r="B567" t="s">
        <v>1154</v>
      </c>
      <c r="C567" s="1">
        <v>45676</v>
      </c>
      <c r="D567" t="s">
        <v>11</v>
      </c>
      <c r="E567" t="s">
        <v>28</v>
      </c>
      <c r="G567">
        <v>91.31</v>
      </c>
      <c r="I567" t="s">
        <v>13</v>
      </c>
    </row>
    <row r="568" spans="1:9" x14ac:dyDescent="0.35">
      <c r="A568" t="s">
        <v>1155</v>
      </c>
      <c r="B568" t="s">
        <v>1156</v>
      </c>
      <c r="C568" s="1">
        <v>45703</v>
      </c>
      <c r="D568" t="s">
        <v>69</v>
      </c>
      <c r="E568" t="s">
        <v>16</v>
      </c>
      <c r="F568">
        <v>5</v>
      </c>
      <c r="G568">
        <v>99.65</v>
      </c>
      <c r="H568">
        <v>498.25</v>
      </c>
      <c r="I568" t="s">
        <v>17</v>
      </c>
    </row>
    <row r="569" spans="1:9" x14ac:dyDescent="0.35">
      <c r="A569" t="s">
        <v>1157</v>
      </c>
      <c r="B569" t="s">
        <v>1158</v>
      </c>
      <c r="C569" s="1">
        <v>45528</v>
      </c>
      <c r="D569" t="s">
        <v>11</v>
      </c>
      <c r="E569" t="s">
        <v>16</v>
      </c>
      <c r="G569">
        <v>10.97</v>
      </c>
      <c r="I569" t="s">
        <v>13</v>
      </c>
    </row>
    <row r="570" spans="1:9" x14ac:dyDescent="0.35">
      <c r="A570" t="s">
        <v>1159</v>
      </c>
      <c r="B570" t="s">
        <v>1160</v>
      </c>
      <c r="C570" s="1">
        <v>45066</v>
      </c>
      <c r="D570" t="s">
        <v>34</v>
      </c>
      <c r="E570" t="s">
        <v>47</v>
      </c>
      <c r="G570">
        <v>76.37</v>
      </c>
      <c r="I570" t="s">
        <v>21</v>
      </c>
    </row>
    <row r="571" spans="1:9" x14ac:dyDescent="0.35">
      <c r="A571" t="s">
        <v>1161</v>
      </c>
      <c r="B571" t="s">
        <v>1162</v>
      </c>
      <c r="C571" s="1">
        <v>45623</v>
      </c>
      <c r="D571" t="s">
        <v>37</v>
      </c>
      <c r="E571" t="s">
        <v>28</v>
      </c>
      <c r="G571">
        <v>29.2</v>
      </c>
      <c r="I571" t="s">
        <v>52</v>
      </c>
    </row>
    <row r="572" spans="1:9" x14ac:dyDescent="0.35">
      <c r="A572" t="s">
        <v>1163</v>
      </c>
      <c r="B572" t="s">
        <v>1164</v>
      </c>
      <c r="C572" s="1">
        <v>45134</v>
      </c>
      <c r="D572" t="s">
        <v>27</v>
      </c>
      <c r="E572" t="s">
        <v>16</v>
      </c>
      <c r="G572">
        <v>70.819999999999993</v>
      </c>
      <c r="I572" t="s">
        <v>13</v>
      </c>
    </row>
    <row r="573" spans="1:9" x14ac:dyDescent="0.35">
      <c r="A573" t="s">
        <v>1165</v>
      </c>
      <c r="B573" t="s">
        <v>1166</v>
      </c>
      <c r="C573" s="1">
        <v>45271</v>
      </c>
      <c r="D573" t="s">
        <v>27</v>
      </c>
      <c r="E573" t="s">
        <v>47</v>
      </c>
      <c r="G573">
        <v>120.39</v>
      </c>
      <c r="I573" t="s">
        <v>52</v>
      </c>
    </row>
    <row r="574" spans="1:9" x14ac:dyDescent="0.35">
      <c r="A574" t="s">
        <v>1167</v>
      </c>
      <c r="B574" t="s">
        <v>1168</v>
      </c>
      <c r="C574" s="1">
        <v>45610</v>
      </c>
      <c r="D574" t="s">
        <v>69</v>
      </c>
      <c r="E574" t="s">
        <v>16</v>
      </c>
      <c r="G574">
        <v>30.52</v>
      </c>
      <c r="I574" t="s">
        <v>38</v>
      </c>
    </row>
    <row r="575" spans="1:9" x14ac:dyDescent="0.35">
      <c r="A575" t="s">
        <v>1169</v>
      </c>
      <c r="B575" t="s">
        <v>1170</v>
      </c>
      <c r="C575" s="1">
        <v>45584</v>
      </c>
      <c r="D575" t="s">
        <v>34</v>
      </c>
      <c r="E575" t="s">
        <v>12</v>
      </c>
      <c r="G575">
        <v>145.63999999999999</v>
      </c>
      <c r="I575" t="s">
        <v>17</v>
      </c>
    </row>
    <row r="576" spans="1:9" x14ac:dyDescent="0.35">
      <c r="A576" t="s">
        <v>1171</v>
      </c>
      <c r="B576" t="s">
        <v>1172</v>
      </c>
      <c r="C576" s="1">
        <v>45311</v>
      </c>
      <c r="D576" t="s">
        <v>20</v>
      </c>
      <c r="E576" t="s">
        <v>47</v>
      </c>
      <c r="G576">
        <v>90.34</v>
      </c>
      <c r="I576" t="s">
        <v>13</v>
      </c>
    </row>
    <row r="577" spans="1:9" x14ac:dyDescent="0.35">
      <c r="A577" t="s">
        <v>1173</v>
      </c>
      <c r="B577" t="s">
        <v>1174</v>
      </c>
      <c r="C577" s="1">
        <v>45637</v>
      </c>
      <c r="D577" t="s">
        <v>20</v>
      </c>
      <c r="E577" t="s">
        <v>28</v>
      </c>
      <c r="F577">
        <v>9</v>
      </c>
      <c r="G577">
        <v>84.73</v>
      </c>
      <c r="H577">
        <v>762.57</v>
      </c>
      <c r="I577" t="s">
        <v>52</v>
      </c>
    </row>
    <row r="578" spans="1:9" x14ac:dyDescent="0.35">
      <c r="A578" t="s">
        <v>1175</v>
      </c>
      <c r="B578" t="s">
        <v>1176</v>
      </c>
      <c r="C578" s="1">
        <v>45515</v>
      </c>
      <c r="D578" t="s">
        <v>34</v>
      </c>
      <c r="E578" t="s">
        <v>24</v>
      </c>
      <c r="F578">
        <v>6</v>
      </c>
      <c r="G578">
        <v>108.23</v>
      </c>
      <c r="H578">
        <v>649.38</v>
      </c>
      <c r="I578" t="s">
        <v>31</v>
      </c>
    </row>
    <row r="579" spans="1:9" x14ac:dyDescent="0.35">
      <c r="A579" t="s">
        <v>1177</v>
      </c>
      <c r="B579" t="s">
        <v>1178</v>
      </c>
      <c r="C579" s="1">
        <v>45770</v>
      </c>
      <c r="D579" t="s">
        <v>69</v>
      </c>
      <c r="E579" t="s">
        <v>24</v>
      </c>
      <c r="G579">
        <v>39.08</v>
      </c>
      <c r="I579" t="s">
        <v>21</v>
      </c>
    </row>
    <row r="580" spans="1:9" x14ac:dyDescent="0.35">
      <c r="A580" t="s">
        <v>1179</v>
      </c>
      <c r="B580" t="s">
        <v>1180</v>
      </c>
      <c r="C580" s="1">
        <v>45370</v>
      </c>
      <c r="D580" t="s">
        <v>11</v>
      </c>
      <c r="E580" t="s">
        <v>24</v>
      </c>
      <c r="G580">
        <v>199.35</v>
      </c>
      <c r="I580" t="s">
        <v>31</v>
      </c>
    </row>
    <row r="581" spans="1:9" x14ac:dyDescent="0.35">
      <c r="A581" t="s">
        <v>1181</v>
      </c>
      <c r="B581" t="s">
        <v>1182</v>
      </c>
      <c r="C581" s="1">
        <v>45407</v>
      </c>
      <c r="D581" t="s">
        <v>27</v>
      </c>
      <c r="E581" t="s">
        <v>16</v>
      </c>
      <c r="F581">
        <v>2</v>
      </c>
      <c r="G581">
        <v>171.55</v>
      </c>
      <c r="H581">
        <v>343.1</v>
      </c>
      <c r="I581" t="s">
        <v>52</v>
      </c>
    </row>
    <row r="582" spans="1:9" x14ac:dyDescent="0.35">
      <c r="A582" t="s">
        <v>1183</v>
      </c>
      <c r="B582" t="s">
        <v>1184</v>
      </c>
      <c r="C582" s="1">
        <v>45199</v>
      </c>
      <c r="D582" t="s">
        <v>11</v>
      </c>
      <c r="E582" t="s">
        <v>24</v>
      </c>
      <c r="F582">
        <v>9</v>
      </c>
      <c r="G582">
        <v>19.899999999999999</v>
      </c>
      <c r="H582">
        <v>179.1</v>
      </c>
      <c r="I582" t="s">
        <v>17</v>
      </c>
    </row>
    <row r="583" spans="1:9" x14ac:dyDescent="0.35">
      <c r="A583" t="s">
        <v>1185</v>
      </c>
      <c r="B583" t="s">
        <v>1186</v>
      </c>
      <c r="C583" s="1">
        <v>45721</v>
      </c>
      <c r="D583" t="s">
        <v>37</v>
      </c>
      <c r="E583" t="s">
        <v>12</v>
      </c>
      <c r="G583">
        <v>75.33</v>
      </c>
      <c r="I583" t="s">
        <v>17</v>
      </c>
    </row>
    <row r="584" spans="1:9" x14ac:dyDescent="0.35">
      <c r="A584" t="s">
        <v>1187</v>
      </c>
      <c r="B584" t="s">
        <v>1188</v>
      </c>
      <c r="C584" s="1">
        <v>45665</v>
      </c>
      <c r="D584" t="s">
        <v>11</v>
      </c>
      <c r="E584" t="s">
        <v>12</v>
      </c>
      <c r="F584">
        <v>1</v>
      </c>
      <c r="G584">
        <v>164.85</v>
      </c>
      <c r="H584">
        <v>164.85</v>
      </c>
      <c r="I584" t="s">
        <v>38</v>
      </c>
    </row>
    <row r="585" spans="1:9" x14ac:dyDescent="0.35">
      <c r="A585" t="s">
        <v>1189</v>
      </c>
      <c r="B585" t="s">
        <v>1190</v>
      </c>
      <c r="C585" s="1">
        <v>45500</v>
      </c>
      <c r="D585" t="s">
        <v>11</v>
      </c>
      <c r="E585" t="s">
        <v>12</v>
      </c>
      <c r="G585">
        <v>198.77</v>
      </c>
      <c r="I585" t="s">
        <v>21</v>
      </c>
    </row>
    <row r="586" spans="1:9" x14ac:dyDescent="0.35">
      <c r="A586" t="s">
        <v>1191</v>
      </c>
      <c r="B586" t="s">
        <v>1192</v>
      </c>
      <c r="C586" s="1">
        <v>45451</v>
      </c>
      <c r="D586" t="s">
        <v>69</v>
      </c>
      <c r="E586" t="s">
        <v>24</v>
      </c>
      <c r="F586">
        <v>7</v>
      </c>
      <c r="G586">
        <v>100.21</v>
      </c>
      <c r="H586">
        <v>701.47</v>
      </c>
      <c r="I586" t="s">
        <v>13</v>
      </c>
    </row>
    <row r="587" spans="1:9" x14ac:dyDescent="0.35">
      <c r="A587" t="s">
        <v>1193</v>
      </c>
      <c r="B587" t="s">
        <v>1194</v>
      </c>
      <c r="C587" s="1">
        <v>45707</v>
      </c>
      <c r="D587" t="s">
        <v>34</v>
      </c>
      <c r="E587" t="s">
        <v>12</v>
      </c>
      <c r="F587">
        <v>6</v>
      </c>
      <c r="G587">
        <v>54.96</v>
      </c>
      <c r="H587">
        <v>329.76</v>
      </c>
      <c r="I587" t="s">
        <v>21</v>
      </c>
    </row>
    <row r="588" spans="1:9" x14ac:dyDescent="0.35">
      <c r="A588" t="s">
        <v>1195</v>
      </c>
      <c r="B588" t="s">
        <v>1196</v>
      </c>
      <c r="C588" s="1">
        <v>45290</v>
      </c>
      <c r="D588" t="s">
        <v>11</v>
      </c>
      <c r="E588" t="s">
        <v>28</v>
      </c>
      <c r="F588">
        <v>1</v>
      </c>
      <c r="G588">
        <v>194.22</v>
      </c>
      <c r="H588">
        <v>194.22</v>
      </c>
      <c r="I588" t="s">
        <v>31</v>
      </c>
    </row>
    <row r="589" spans="1:9" x14ac:dyDescent="0.35">
      <c r="A589" t="s">
        <v>1197</v>
      </c>
      <c r="B589" t="s">
        <v>1198</v>
      </c>
      <c r="C589" s="1">
        <v>45070</v>
      </c>
      <c r="D589" t="s">
        <v>20</v>
      </c>
      <c r="E589" t="s">
        <v>12</v>
      </c>
      <c r="G589">
        <v>50.72</v>
      </c>
      <c r="I589" t="s">
        <v>38</v>
      </c>
    </row>
    <row r="590" spans="1:9" x14ac:dyDescent="0.35">
      <c r="A590" t="s">
        <v>1199</v>
      </c>
      <c r="B590" t="s">
        <v>1200</v>
      </c>
      <c r="C590" s="1">
        <v>45452</v>
      </c>
      <c r="D590" t="s">
        <v>34</v>
      </c>
      <c r="E590" t="s">
        <v>16</v>
      </c>
      <c r="F590">
        <v>5</v>
      </c>
      <c r="G590">
        <v>171.21</v>
      </c>
      <c r="H590">
        <v>856.05</v>
      </c>
      <c r="I590" t="s">
        <v>21</v>
      </c>
    </row>
    <row r="591" spans="1:9" x14ac:dyDescent="0.35">
      <c r="A591" t="s">
        <v>1201</v>
      </c>
      <c r="B591" t="s">
        <v>1202</v>
      </c>
      <c r="C591" s="1">
        <v>45457</v>
      </c>
      <c r="D591" t="s">
        <v>27</v>
      </c>
      <c r="E591" t="s">
        <v>12</v>
      </c>
      <c r="G591">
        <v>60.48</v>
      </c>
      <c r="I591" t="s">
        <v>21</v>
      </c>
    </row>
    <row r="592" spans="1:9" x14ac:dyDescent="0.35">
      <c r="A592" t="s">
        <v>1203</v>
      </c>
      <c r="B592" t="s">
        <v>1204</v>
      </c>
      <c r="C592" s="1">
        <v>45106</v>
      </c>
      <c r="D592" t="s">
        <v>37</v>
      </c>
      <c r="E592" t="s">
        <v>16</v>
      </c>
      <c r="G592">
        <v>88.51</v>
      </c>
      <c r="I592" t="s">
        <v>21</v>
      </c>
    </row>
    <row r="593" spans="1:9" x14ac:dyDescent="0.35">
      <c r="A593" t="s">
        <v>1205</v>
      </c>
      <c r="B593" t="s">
        <v>1206</v>
      </c>
      <c r="C593" s="1">
        <v>45171</v>
      </c>
      <c r="D593" t="s">
        <v>69</v>
      </c>
      <c r="E593" t="s">
        <v>47</v>
      </c>
      <c r="F593">
        <v>5</v>
      </c>
      <c r="G593">
        <v>89.68</v>
      </c>
      <c r="H593">
        <v>448.4</v>
      </c>
      <c r="I593" t="s">
        <v>17</v>
      </c>
    </row>
    <row r="594" spans="1:9" x14ac:dyDescent="0.35">
      <c r="A594" t="s">
        <v>1207</v>
      </c>
      <c r="B594" t="s">
        <v>1208</v>
      </c>
      <c r="C594" s="1">
        <v>45689</v>
      </c>
      <c r="D594" t="s">
        <v>20</v>
      </c>
      <c r="E594" t="s">
        <v>24</v>
      </c>
      <c r="G594">
        <v>189</v>
      </c>
      <c r="I594" t="s">
        <v>13</v>
      </c>
    </row>
    <row r="595" spans="1:9" x14ac:dyDescent="0.35">
      <c r="A595" t="s">
        <v>1209</v>
      </c>
      <c r="B595" t="s">
        <v>392</v>
      </c>
      <c r="C595" s="1">
        <v>45432</v>
      </c>
      <c r="D595" t="s">
        <v>20</v>
      </c>
      <c r="E595" t="s">
        <v>16</v>
      </c>
      <c r="G595">
        <v>71.22</v>
      </c>
      <c r="I595" t="s">
        <v>17</v>
      </c>
    </row>
    <row r="596" spans="1:9" x14ac:dyDescent="0.35">
      <c r="A596" t="s">
        <v>1210</v>
      </c>
      <c r="B596" t="s">
        <v>1211</v>
      </c>
      <c r="C596" s="1">
        <v>45054</v>
      </c>
      <c r="D596" t="s">
        <v>27</v>
      </c>
      <c r="E596" t="s">
        <v>47</v>
      </c>
      <c r="G596">
        <v>148.49</v>
      </c>
      <c r="I596" t="s">
        <v>13</v>
      </c>
    </row>
    <row r="597" spans="1:9" x14ac:dyDescent="0.35">
      <c r="A597" t="s">
        <v>1212</v>
      </c>
      <c r="B597" t="s">
        <v>1213</v>
      </c>
      <c r="C597" s="1">
        <v>45300</v>
      </c>
      <c r="D597" t="s">
        <v>20</v>
      </c>
      <c r="E597" t="s">
        <v>47</v>
      </c>
      <c r="G597">
        <v>97.4</v>
      </c>
      <c r="I597" t="s">
        <v>38</v>
      </c>
    </row>
    <row r="598" spans="1:9" x14ac:dyDescent="0.35">
      <c r="A598" t="s">
        <v>1214</v>
      </c>
      <c r="B598" t="s">
        <v>1215</v>
      </c>
      <c r="C598" s="1">
        <v>45777</v>
      </c>
      <c r="D598" t="s">
        <v>27</v>
      </c>
      <c r="E598" t="s">
        <v>28</v>
      </c>
      <c r="G598">
        <v>42.46</v>
      </c>
      <c r="I598" t="s">
        <v>31</v>
      </c>
    </row>
    <row r="599" spans="1:9" x14ac:dyDescent="0.35">
      <c r="A599" t="s">
        <v>1216</v>
      </c>
      <c r="B599" t="s">
        <v>1217</v>
      </c>
      <c r="C599" s="1">
        <v>45599</v>
      </c>
      <c r="D599" t="s">
        <v>27</v>
      </c>
      <c r="E599" t="s">
        <v>16</v>
      </c>
      <c r="F599">
        <v>1</v>
      </c>
      <c r="G599">
        <v>122.29</v>
      </c>
      <c r="H599">
        <v>122.29</v>
      </c>
      <c r="I599" t="s">
        <v>13</v>
      </c>
    </row>
    <row r="600" spans="1:9" x14ac:dyDescent="0.35">
      <c r="A600" t="s">
        <v>1218</v>
      </c>
      <c r="B600" t="s">
        <v>1219</v>
      </c>
      <c r="C600" s="1">
        <v>45102</v>
      </c>
      <c r="D600" t="s">
        <v>20</v>
      </c>
      <c r="E600" t="s">
        <v>12</v>
      </c>
      <c r="F600">
        <v>5</v>
      </c>
      <c r="G600">
        <v>184.32</v>
      </c>
      <c r="H600">
        <v>921.6</v>
      </c>
      <c r="I600" t="s">
        <v>38</v>
      </c>
    </row>
    <row r="601" spans="1:9" x14ac:dyDescent="0.35">
      <c r="A601" t="s">
        <v>1220</v>
      </c>
      <c r="B601" t="s">
        <v>1221</v>
      </c>
      <c r="C601" s="1">
        <v>45151</v>
      </c>
      <c r="D601" t="s">
        <v>34</v>
      </c>
      <c r="E601" t="s">
        <v>12</v>
      </c>
      <c r="F601">
        <v>9</v>
      </c>
      <c r="G601">
        <v>112.02</v>
      </c>
      <c r="H601">
        <v>1008.18</v>
      </c>
      <c r="I601" t="s">
        <v>21</v>
      </c>
    </row>
    <row r="602" spans="1:9" x14ac:dyDescent="0.35">
      <c r="A602" t="s">
        <v>1222</v>
      </c>
      <c r="B602" t="s">
        <v>1223</v>
      </c>
      <c r="C602" s="1">
        <v>45558</v>
      </c>
      <c r="D602" t="s">
        <v>37</v>
      </c>
      <c r="E602" t="s">
        <v>28</v>
      </c>
      <c r="G602">
        <v>121.46</v>
      </c>
      <c r="I602" t="s">
        <v>21</v>
      </c>
    </row>
    <row r="603" spans="1:9" x14ac:dyDescent="0.35">
      <c r="A603" t="s">
        <v>1224</v>
      </c>
      <c r="B603" t="s">
        <v>1225</v>
      </c>
      <c r="C603" s="1">
        <v>45498</v>
      </c>
      <c r="D603" t="s">
        <v>37</v>
      </c>
      <c r="E603" t="s">
        <v>47</v>
      </c>
      <c r="F603">
        <v>3</v>
      </c>
      <c r="G603">
        <v>124.49</v>
      </c>
      <c r="H603">
        <v>373.47</v>
      </c>
      <c r="I603" t="s">
        <v>38</v>
      </c>
    </row>
    <row r="604" spans="1:9" x14ac:dyDescent="0.35">
      <c r="A604" t="s">
        <v>1226</v>
      </c>
      <c r="B604" t="s">
        <v>1227</v>
      </c>
      <c r="C604" s="1">
        <v>45291</v>
      </c>
      <c r="D604" t="s">
        <v>37</v>
      </c>
      <c r="E604" t="s">
        <v>16</v>
      </c>
      <c r="F604">
        <v>4</v>
      </c>
      <c r="G604">
        <v>98.06</v>
      </c>
      <c r="H604">
        <v>392.24</v>
      </c>
      <c r="I604" t="s">
        <v>31</v>
      </c>
    </row>
    <row r="605" spans="1:9" x14ac:dyDescent="0.35">
      <c r="A605" t="s">
        <v>1228</v>
      </c>
      <c r="B605" t="s">
        <v>1229</v>
      </c>
      <c r="C605" s="1">
        <v>45769</v>
      </c>
      <c r="D605" t="s">
        <v>20</v>
      </c>
      <c r="E605" t="s">
        <v>28</v>
      </c>
      <c r="G605">
        <v>106.96</v>
      </c>
      <c r="I605" t="s">
        <v>13</v>
      </c>
    </row>
    <row r="606" spans="1:9" x14ac:dyDescent="0.35">
      <c r="A606" t="s">
        <v>1230</v>
      </c>
      <c r="B606" t="s">
        <v>1231</v>
      </c>
      <c r="C606" s="1">
        <v>45501</v>
      </c>
      <c r="D606" t="s">
        <v>27</v>
      </c>
      <c r="E606" t="s">
        <v>24</v>
      </c>
      <c r="G606">
        <v>55.32</v>
      </c>
      <c r="I606" t="s">
        <v>38</v>
      </c>
    </row>
    <row r="607" spans="1:9" x14ac:dyDescent="0.35">
      <c r="A607" t="s">
        <v>1232</v>
      </c>
      <c r="B607" t="s">
        <v>1233</v>
      </c>
      <c r="C607" s="1">
        <v>45734</v>
      </c>
      <c r="D607" t="s">
        <v>69</v>
      </c>
      <c r="E607" t="s">
        <v>24</v>
      </c>
      <c r="G607">
        <v>129.61000000000001</v>
      </c>
      <c r="I607" t="s">
        <v>21</v>
      </c>
    </row>
    <row r="608" spans="1:9" x14ac:dyDescent="0.35">
      <c r="A608" t="s">
        <v>1234</v>
      </c>
      <c r="B608" t="s">
        <v>1235</v>
      </c>
      <c r="C608" s="1">
        <v>45241</v>
      </c>
      <c r="D608" t="s">
        <v>37</v>
      </c>
      <c r="E608" t="s">
        <v>28</v>
      </c>
      <c r="G608">
        <v>24.55</v>
      </c>
      <c r="I608" t="s">
        <v>52</v>
      </c>
    </row>
    <row r="609" spans="1:9" x14ac:dyDescent="0.35">
      <c r="A609" t="s">
        <v>1236</v>
      </c>
      <c r="B609" t="s">
        <v>1237</v>
      </c>
      <c r="C609" s="1">
        <v>45521</v>
      </c>
      <c r="D609" t="s">
        <v>37</v>
      </c>
      <c r="E609" t="s">
        <v>28</v>
      </c>
      <c r="F609">
        <v>8</v>
      </c>
      <c r="G609">
        <v>92.3</v>
      </c>
      <c r="H609">
        <v>738.4</v>
      </c>
      <c r="I609" t="s">
        <v>17</v>
      </c>
    </row>
    <row r="610" spans="1:9" x14ac:dyDescent="0.35">
      <c r="A610" t="s">
        <v>1238</v>
      </c>
      <c r="B610" t="s">
        <v>1239</v>
      </c>
      <c r="C610" s="1">
        <v>45099</v>
      </c>
      <c r="D610" t="s">
        <v>34</v>
      </c>
      <c r="E610" t="s">
        <v>12</v>
      </c>
      <c r="G610">
        <v>113.88</v>
      </c>
      <c r="I610" t="s">
        <v>21</v>
      </c>
    </row>
    <row r="611" spans="1:9" x14ac:dyDescent="0.35">
      <c r="A611" t="s">
        <v>1240</v>
      </c>
      <c r="B611" t="s">
        <v>1241</v>
      </c>
      <c r="C611" s="1">
        <v>45762</v>
      </c>
      <c r="D611" t="s">
        <v>69</v>
      </c>
      <c r="E611" t="s">
        <v>24</v>
      </c>
      <c r="F611">
        <v>2</v>
      </c>
      <c r="G611">
        <v>52.86</v>
      </c>
      <c r="H611">
        <v>105.72</v>
      </c>
      <c r="I611" t="s">
        <v>21</v>
      </c>
    </row>
    <row r="612" spans="1:9" x14ac:dyDescent="0.35">
      <c r="A612" t="s">
        <v>1242</v>
      </c>
      <c r="B612" t="s">
        <v>1243</v>
      </c>
      <c r="C612" s="1">
        <v>45471</v>
      </c>
      <c r="D612" t="s">
        <v>37</v>
      </c>
      <c r="E612" t="s">
        <v>24</v>
      </c>
      <c r="G612">
        <v>112.88</v>
      </c>
      <c r="I612" t="s">
        <v>31</v>
      </c>
    </row>
    <row r="613" spans="1:9" x14ac:dyDescent="0.35">
      <c r="A613" t="s">
        <v>1244</v>
      </c>
      <c r="B613" t="s">
        <v>1245</v>
      </c>
      <c r="C613" s="1">
        <v>45728</v>
      </c>
      <c r="D613" t="s">
        <v>27</v>
      </c>
      <c r="E613" t="s">
        <v>24</v>
      </c>
      <c r="F613">
        <v>6</v>
      </c>
      <c r="G613">
        <v>52.15</v>
      </c>
      <c r="H613">
        <v>312.89999999999998</v>
      </c>
      <c r="I613" t="s">
        <v>21</v>
      </c>
    </row>
    <row r="614" spans="1:9" x14ac:dyDescent="0.35">
      <c r="A614" t="s">
        <v>1246</v>
      </c>
      <c r="B614" t="s">
        <v>1247</v>
      </c>
      <c r="C614" s="1">
        <v>45373</v>
      </c>
      <c r="D614" t="s">
        <v>37</v>
      </c>
      <c r="E614" t="s">
        <v>24</v>
      </c>
      <c r="F614">
        <v>3</v>
      </c>
      <c r="G614">
        <v>46.93</v>
      </c>
      <c r="H614">
        <v>140.79</v>
      </c>
      <c r="I614" t="s">
        <v>38</v>
      </c>
    </row>
    <row r="615" spans="1:9" x14ac:dyDescent="0.35">
      <c r="A615" t="s">
        <v>1248</v>
      </c>
      <c r="B615" t="s">
        <v>1249</v>
      </c>
      <c r="C615" s="1">
        <v>45299</v>
      </c>
      <c r="D615" t="s">
        <v>27</v>
      </c>
      <c r="E615" t="s">
        <v>28</v>
      </c>
      <c r="F615">
        <v>2</v>
      </c>
      <c r="G615">
        <v>91.25</v>
      </c>
      <c r="H615">
        <v>182.5</v>
      </c>
      <c r="I615" t="s">
        <v>38</v>
      </c>
    </row>
    <row r="616" spans="1:9" x14ac:dyDescent="0.35">
      <c r="A616" t="s">
        <v>1250</v>
      </c>
      <c r="B616" t="s">
        <v>1251</v>
      </c>
      <c r="C616" s="1">
        <v>45550</v>
      </c>
      <c r="D616" t="s">
        <v>20</v>
      </c>
      <c r="E616" t="s">
        <v>12</v>
      </c>
      <c r="G616">
        <v>87.87</v>
      </c>
      <c r="I616" t="s">
        <v>13</v>
      </c>
    </row>
    <row r="617" spans="1:9" x14ac:dyDescent="0.35">
      <c r="A617" t="s">
        <v>1252</v>
      </c>
      <c r="B617" t="s">
        <v>1253</v>
      </c>
      <c r="C617" s="1">
        <v>45417</v>
      </c>
      <c r="D617" t="s">
        <v>37</v>
      </c>
      <c r="E617" t="s">
        <v>28</v>
      </c>
      <c r="F617">
        <v>6</v>
      </c>
      <c r="G617">
        <v>187.3</v>
      </c>
      <c r="H617">
        <v>1123.8</v>
      </c>
      <c r="I617" t="s">
        <v>13</v>
      </c>
    </row>
    <row r="618" spans="1:9" x14ac:dyDescent="0.35">
      <c r="A618" t="s">
        <v>1254</v>
      </c>
      <c r="B618" t="s">
        <v>1255</v>
      </c>
      <c r="C618" s="1">
        <v>45097</v>
      </c>
      <c r="D618" t="s">
        <v>34</v>
      </c>
      <c r="E618" t="s">
        <v>24</v>
      </c>
      <c r="F618">
        <v>5</v>
      </c>
      <c r="G618">
        <v>159.74</v>
      </c>
      <c r="H618">
        <v>798.7</v>
      </c>
      <c r="I618" t="s">
        <v>17</v>
      </c>
    </row>
    <row r="619" spans="1:9" x14ac:dyDescent="0.35">
      <c r="A619" t="s">
        <v>1256</v>
      </c>
      <c r="B619" t="s">
        <v>1257</v>
      </c>
      <c r="C619" s="1">
        <v>45550</v>
      </c>
      <c r="D619" t="s">
        <v>69</v>
      </c>
      <c r="E619" t="s">
        <v>12</v>
      </c>
      <c r="F619">
        <v>9</v>
      </c>
      <c r="G619">
        <v>97.51</v>
      </c>
      <c r="H619">
        <v>877.59</v>
      </c>
      <c r="I619" t="s">
        <v>21</v>
      </c>
    </row>
    <row r="620" spans="1:9" x14ac:dyDescent="0.35">
      <c r="A620" t="s">
        <v>1258</v>
      </c>
      <c r="B620" t="s">
        <v>1259</v>
      </c>
      <c r="C620" s="1">
        <v>45608</v>
      </c>
      <c r="D620" t="s">
        <v>11</v>
      </c>
      <c r="E620" t="s">
        <v>12</v>
      </c>
      <c r="F620">
        <v>1</v>
      </c>
      <c r="G620">
        <v>75.31</v>
      </c>
      <c r="H620">
        <v>75.31</v>
      </c>
      <c r="I620" t="s">
        <v>31</v>
      </c>
    </row>
    <row r="621" spans="1:9" x14ac:dyDescent="0.35">
      <c r="A621" t="s">
        <v>1260</v>
      </c>
      <c r="B621" t="s">
        <v>1261</v>
      </c>
      <c r="C621" s="1">
        <v>45324</v>
      </c>
      <c r="D621" t="s">
        <v>69</v>
      </c>
      <c r="E621" t="s">
        <v>16</v>
      </c>
      <c r="F621">
        <v>7</v>
      </c>
      <c r="G621">
        <v>109.16</v>
      </c>
      <c r="H621">
        <v>764.12</v>
      </c>
      <c r="I621" t="s">
        <v>21</v>
      </c>
    </row>
    <row r="622" spans="1:9" x14ac:dyDescent="0.35">
      <c r="A622" t="s">
        <v>1262</v>
      </c>
      <c r="B622" t="s">
        <v>1263</v>
      </c>
      <c r="C622" s="1">
        <v>45131</v>
      </c>
      <c r="D622" t="s">
        <v>69</v>
      </c>
      <c r="E622" t="s">
        <v>12</v>
      </c>
      <c r="G622">
        <v>60.07</v>
      </c>
      <c r="I622" t="s">
        <v>31</v>
      </c>
    </row>
    <row r="623" spans="1:9" x14ac:dyDescent="0.35">
      <c r="A623" t="s">
        <v>1264</v>
      </c>
      <c r="B623" t="s">
        <v>1265</v>
      </c>
      <c r="C623" s="1">
        <v>45231</v>
      </c>
      <c r="D623" t="s">
        <v>37</v>
      </c>
      <c r="E623" t="s">
        <v>24</v>
      </c>
      <c r="F623">
        <v>5</v>
      </c>
      <c r="G623">
        <v>158.94999999999999</v>
      </c>
      <c r="H623">
        <v>794.75</v>
      </c>
      <c r="I623" t="s">
        <v>17</v>
      </c>
    </row>
    <row r="624" spans="1:9" x14ac:dyDescent="0.35">
      <c r="A624" t="s">
        <v>1266</v>
      </c>
      <c r="B624" t="s">
        <v>1267</v>
      </c>
      <c r="C624" s="1">
        <v>45403</v>
      </c>
      <c r="D624" t="s">
        <v>37</v>
      </c>
      <c r="E624" t="s">
        <v>16</v>
      </c>
      <c r="G624">
        <v>54.84</v>
      </c>
      <c r="I624" t="s">
        <v>31</v>
      </c>
    </row>
    <row r="625" spans="1:9" x14ac:dyDescent="0.35">
      <c r="A625" t="s">
        <v>1268</v>
      </c>
      <c r="B625" t="s">
        <v>1269</v>
      </c>
      <c r="C625" s="1">
        <v>45094</v>
      </c>
      <c r="D625" t="s">
        <v>20</v>
      </c>
      <c r="E625" t="s">
        <v>28</v>
      </c>
      <c r="F625">
        <v>3</v>
      </c>
      <c r="G625">
        <v>110.79</v>
      </c>
      <c r="H625">
        <v>332.37</v>
      </c>
      <c r="I625" t="s">
        <v>52</v>
      </c>
    </row>
    <row r="626" spans="1:9" x14ac:dyDescent="0.35">
      <c r="A626" t="s">
        <v>1270</v>
      </c>
      <c r="B626" t="s">
        <v>1271</v>
      </c>
      <c r="C626" s="1">
        <v>45514</v>
      </c>
      <c r="D626" t="s">
        <v>27</v>
      </c>
      <c r="E626" t="s">
        <v>16</v>
      </c>
      <c r="F626">
        <v>7</v>
      </c>
      <c r="G626">
        <v>170.26</v>
      </c>
      <c r="H626">
        <v>1191.82</v>
      </c>
      <c r="I626" t="s">
        <v>21</v>
      </c>
    </row>
    <row r="627" spans="1:9" x14ac:dyDescent="0.35">
      <c r="A627" t="s">
        <v>1272</v>
      </c>
      <c r="B627" t="s">
        <v>1273</v>
      </c>
      <c r="C627" s="1">
        <v>45382</v>
      </c>
      <c r="D627" t="s">
        <v>11</v>
      </c>
      <c r="E627" t="s">
        <v>12</v>
      </c>
      <c r="F627">
        <v>6</v>
      </c>
      <c r="G627">
        <v>133.30000000000001</v>
      </c>
      <c r="H627">
        <v>799.8</v>
      </c>
      <c r="I627" t="s">
        <v>13</v>
      </c>
    </row>
    <row r="628" spans="1:9" x14ac:dyDescent="0.35">
      <c r="A628" t="s">
        <v>1274</v>
      </c>
      <c r="B628" t="s">
        <v>1275</v>
      </c>
      <c r="C628" s="1">
        <v>45187</v>
      </c>
      <c r="D628" t="s">
        <v>69</v>
      </c>
      <c r="E628" t="s">
        <v>12</v>
      </c>
      <c r="G628">
        <v>104.54</v>
      </c>
      <c r="I628" t="s">
        <v>38</v>
      </c>
    </row>
    <row r="629" spans="1:9" x14ac:dyDescent="0.35">
      <c r="A629" t="s">
        <v>1276</v>
      </c>
      <c r="B629" t="s">
        <v>1277</v>
      </c>
      <c r="C629" s="1">
        <v>45549</v>
      </c>
      <c r="D629" t="s">
        <v>34</v>
      </c>
      <c r="E629" t="s">
        <v>12</v>
      </c>
      <c r="F629">
        <v>6</v>
      </c>
      <c r="G629">
        <v>199.31</v>
      </c>
      <c r="H629">
        <v>1195.8599999999999</v>
      </c>
      <c r="I629" t="s">
        <v>13</v>
      </c>
    </row>
    <row r="630" spans="1:9" x14ac:dyDescent="0.35">
      <c r="A630" t="s">
        <v>1278</v>
      </c>
      <c r="B630" t="s">
        <v>1279</v>
      </c>
      <c r="C630" s="1">
        <v>45460</v>
      </c>
      <c r="D630" t="s">
        <v>69</v>
      </c>
      <c r="E630" t="s">
        <v>24</v>
      </c>
      <c r="F630">
        <v>2</v>
      </c>
      <c r="G630">
        <v>109.92</v>
      </c>
      <c r="H630">
        <v>219.84</v>
      </c>
      <c r="I630" t="s">
        <v>38</v>
      </c>
    </row>
    <row r="631" spans="1:9" x14ac:dyDescent="0.35">
      <c r="A631" t="s">
        <v>1280</v>
      </c>
      <c r="B631" t="s">
        <v>1281</v>
      </c>
      <c r="C631" s="1">
        <v>45154</v>
      </c>
      <c r="D631" t="s">
        <v>27</v>
      </c>
      <c r="E631" t="s">
        <v>24</v>
      </c>
      <c r="F631">
        <v>2</v>
      </c>
      <c r="G631">
        <v>182.4</v>
      </c>
      <c r="H631">
        <v>364.8</v>
      </c>
      <c r="I631" t="s">
        <v>38</v>
      </c>
    </row>
    <row r="632" spans="1:9" x14ac:dyDescent="0.35">
      <c r="A632" t="s">
        <v>1282</v>
      </c>
      <c r="B632" t="s">
        <v>1283</v>
      </c>
      <c r="C632" s="1">
        <v>45421</v>
      </c>
      <c r="D632" t="s">
        <v>27</v>
      </c>
      <c r="E632" t="s">
        <v>16</v>
      </c>
      <c r="G632">
        <v>51.62</v>
      </c>
      <c r="I632" t="s">
        <v>31</v>
      </c>
    </row>
    <row r="633" spans="1:9" x14ac:dyDescent="0.35">
      <c r="A633" t="s">
        <v>1284</v>
      </c>
      <c r="B633" t="s">
        <v>1285</v>
      </c>
      <c r="C633" s="1">
        <v>45130</v>
      </c>
      <c r="D633" t="s">
        <v>34</v>
      </c>
      <c r="E633" t="s">
        <v>24</v>
      </c>
      <c r="F633">
        <v>3</v>
      </c>
      <c r="G633">
        <v>113.32</v>
      </c>
      <c r="H633">
        <v>339.96</v>
      </c>
      <c r="I633" t="s">
        <v>21</v>
      </c>
    </row>
    <row r="634" spans="1:9" x14ac:dyDescent="0.35">
      <c r="A634" t="s">
        <v>1286</v>
      </c>
      <c r="B634" t="s">
        <v>1287</v>
      </c>
      <c r="C634" s="1">
        <v>45332</v>
      </c>
      <c r="D634" t="s">
        <v>34</v>
      </c>
      <c r="E634" t="s">
        <v>47</v>
      </c>
      <c r="F634">
        <v>2</v>
      </c>
      <c r="G634">
        <v>148.27000000000001</v>
      </c>
      <c r="H634">
        <v>296.54000000000002</v>
      </c>
      <c r="I634" t="s">
        <v>13</v>
      </c>
    </row>
    <row r="635" spans="1:9" x14ac:dyDescent="0.35">
      <c r="A635" t="s">
        <v>1288</v>
      </c>
      <c r="B635" t="s">
        <v>1289</v>
      </c>
      <c r="C635" s="1">
        <v>45115</v>
      </c>
      <c r="D635" t="s">
        <v>27</v>
      </c>
      <c r="E635" t="s">
        <v>16</v>
      </c>
      <c r="G635">
        <v>40.090000000000003</v>
      </c>
      <c r="I635" t="s">
        <v>21</v>
      </c>
    </row>
    <row r="636" spans="1:9" x14ac:dyDescent="0.35">
      <c r="A636" t="s">
        <v>1290</v>
      </c>
      <c r="B636" t="s">
        <v>1291</v>
      </c>
      <c r="C636" s="1">
        <v>45291</v>
      </c>
      <c r="D636" t="s">
        <v>11</v>
      </c>
      <c r="E636" t="s">
        <v>28</v>
      </c>
      <c r="G636">
        <v>167.05</v>
      </c>
      <c r="I636" t="s">
        <v>31</v>
      </c>
    </row>
    <row r="637" spans="1:9" x14ac:dyDescent="0.35">
      <c r="A637" t="s">
        <v>1292</v>
      </c>
      <c r="B637" t="s">
        <v>1293</v>
      </c>
      <c r="C637" s="1">
        <v>45578</v>
      </c>
      <c r="D637" t="s">
        <v>34</v>
      </c>
      <c r="E637" t="s">
        <v>16</v>
      </c>
      <c r="G637">
        <v>124.89</v>
      </c>
      <c r="I637" t="s">
        <v>17</v>
      </c>
    </row>
    <row r="638" spans="1:9" x14ac:dyDescent="0.35">
      <c r="A638" t="s">
        <v>1294</v>
      </c>
      <c r="B638" t="s">
        <v>1295</v>
      </c>
      <c r="C638" s="1">
        <v>45298</v>
      </c>
      <c r="D638" t="s">
        <v>20</v>
      </c>
      <c r="E638" t="s">
        <v>28</v>
      </c>
      <c r="G638">
        <v>102.13</v>
      </c>
      <c r="I638" t="s">
        <v>13</v>
      </c>
    </row>
    <row r="639" spans="1:9" x14ac:dyDescent="0.35">
      <c r="A639" t="s">
        <v>1296</v>
      </c>
      <c r="B639" t="s">
        <v>1297</v>
      </c>
      <c r="C639" s="1">
        <v>45197</v>
      </c>
      <c r="D639" t="s">
        <v>20</v>
      </c>
      <c r="E639" t="s">
        <v>28</v>
      </c>
      <c r="G639">
        <v>42.93</v>
      </c>
      <c r="I639" t="s">
        <v>21</v>
      </c>
    </row>
    <row r="640" spans="1:9" x14ac:dyDescent="0.35">
      <c r="A640" t="s">
        <v>1298</v>
      </c>
      <c r="B640" t="s">
        <v>1299</v>
      </c>
      <c r="C640" s="1">
        <v>45156</v>
      </c>
      <c r="D640" t="s">
        <v>11</v>
      </c>
      <c r="E640" t="s">
        <v>16</v>
      </c>
      <c r="F640">
        <v>7</v>
      </c>
      <c r="G640">
        <v>33.33</v>
      </c>
      <c r="H640">
        <v>233.31</v>
      </c>
      <c r="I640" t="s">
        <v>13</v>
      </c>
    </row>
    <row r="641" spans="1:9" x14ac:dyDescent="0.35">
      <c r="A641" t="s">
        <v>1300</v>
      </c>
      <c r="B641" t="s">
        <v>1301</v>
      </c>
      <c r="C641" s="1">
        <v>45715</v>
      </c>
      <c r="D641" t="s">
        <v>37</v>
      </c>
      <c r="E641" t="s">
        <v>12</v>
      </c>
      <c r="F641">
        <v>3</v>
      </c>
      <c r="G641">
        <v>90.53</v>
      </c>
      <c r="H641">
        <v>271.58999999999997</v>
      </c>
      <c r="I641" t="s">
        <v>52</v>
      </c>
    </row>
    <row r="642" spans="1:9" x14ac:dyDescent="0.35">
      <c r="A642" t="s">
        <v>1302</v>
      </c>
      <c r="B642" t="s">
        <v>1303</v>
      </c>
      <c r="C642" s="1">
        <v>45670</v>
      </c>
      <c r="D642" t="s">
        <v>69</v>
      </c>
      <c r="E642" t="s">
        <v>12</v>
      </c>
      <c r="G642">
        <v>195.73</v>
      </c>
      <c r="I642" t="s">
        <v>38</v>
      </c>
    </row>
    <row r="643" spans="1:9" x14ac:dyDescent="0.35">
      <c r="A643" t="s">
        <v>1304</v>
      </c>
      <c r="B643" t="s">
        <v>1305</v>
      </c>
      <c r="C643" s="1">
        <v>45592</v>
      </c>
      <c r="D643" t="s">
        <v>69</v>
      </c>
      <c r="E643" t="s">
        <v>24</v>
      </c>
      <c r="G643">
        <v>189.15</v>
      </c>
      <c r="I643" t="s">
        <v>38</v>
      </c>
    </row>
    <row r="644" spans="1:9" x14ac:dyDescent="0.35">
      <c r="A644" t="s">
        <v>1306</v>
      </c>
      <c r="B644" t="s">
        <v>1307</v>
      </c>
      <c r="C644" s="1">
        <v>45457</v>
      </c>
      <c r="D644" t="s">
        <v>34</v>
      </c>
      <c r="E644" t="s">
        <v>16</v>
      </c>
      <c r="F644">
        <v>4</v>
      </c>
      <c r="G644">
        <v>131.54</v>
      </c>
      <c r="H644">
        <v>526.16</v>
      </c>
      <c r="I644" t="s">
        <v>31</v>
      </c>
    </row>
    <row r="645" spans="1:9" x14ac:dyDescent="0.35">
      <c r="A645" t="s">
        <v>1308</v>
      </c>
      <c r="B645" t="s">
        <v>1309</v>
      </c>
      <c r="C645" s="1">
        <v>45535</v>
      </c>
      <c r="D645" t="s">
        <v>11</v>
      </c>
      <c r="E645" t="s">
        <v>12</v>
      </c>
      <c r="F645">
        <v>8</v>
      </c>
      <c r="G645">
        <v>63.08</v>
      </c>
      <c r="H645">
        <v>504.64</v>
      </c>
      <c r="I645" t="s">
        <v>31</v>
      </c>
    </row>
    <row r="646" spans="1:9" x14ac:dyDescent="0.35">
      <c r="A646" t="s">
        <v>1310</v>
      </c>
      <c r="B646" t="s">
        <v>1311</v>
      </c>
      <c r="C646" s="1">
        <v>45198</v>
      </c>
      <c r="D646" t="s">
        <v>37</v>
      </c>
      <c r="E646" t="s">
        <v>24</v>
      </c>
      <c r="G646">
        <v>194.36</v>
      </c>
      <c r="I646" t="s">
        <v>31</v>
      </c>
    </row>
    <row r="647" spans="1:9" x14ac:dyDescent="0.35">
      <c r="A647" t="s">
        <v>1312</v>
      </c>
      <c r="B647" t="s">
        <v>1313</v>
      </c>
      <c r="C647" s="1">
        <v>45684</v>
      </c>
      <c r="D647" t="s">
        <v>27</v>
      </c>
      <c r="E647" t="s">
        <v>28</v>
      </c>
      <c r="F647">
        <v>1</v>
      </c>
      <c r="G647">
        <v>154.37</v>
      </c>
      <c r="H647">
        <v>154.37</v>
      </c>
      <c r="I647" t="s">
        <v>31</v>
      </c>
    </row>
    <row r="648" spans="1:9" x14ac:dyDescent="0.35">
      <c r="A648" t="s">
        <v>1314</v>
      </c>
      <c r="B648" t="s">
        <v>1315</v>
      </c>
      <c r="C648" s="1">
        <v>45137</v>
      </c>
      <c r="D648" t="s">
        <v>27</v>
      </c>
      <c r="E648" t="s">
        <v>47</v>
      </c>
      <c r="G648">
        <v>136.33000000000001</v>
      </c>
      <c r="I648" t="s">
        <v>21</v>
      </c>
    </row>
    <row r="649" spans="1:9" x14ac:dyDescent="0.35">
      <c r="A649" t="s">
        <v>1316</v>
      </c>
      <c r="B649" t="s">
        <v>1317</v>
      </c>
      <c r="C649" s="1">
        <v>45242</v>
      </c>
      <c r="D649" t="s">
        <v>27</v>
      </c>
      <c r="E649" t="s">
        <v>12</v>
      </c>
      <c r="F649">
        <v>8</v>
      </c>
      <c r="G649">
        <v>165.15</v>
      </c>
      <c r="H649">
        <v>1321.2</v>
      </c>
      <c r="I649" t="s">
        <v>52</v>
      </c>
    </row>
    <row r="650" spans="1:9" x14ac:dyDescent="0.35">
      <c r="A650" t="s">
        <v>1318</v>
      </c>
      <c r="B650" t="s">
        <v>1319</v>
      </c>
      <c r="C650" s="1">
        <v>45404</v>
      </c>
      <c r="D650" t="s">
        <v>34</v>
      </c>
      <c r="E650" t="s">
        <v>47</v>
      </c>
      <c r="G650">
        <v>96.53</v>
      </c>
      <c r="I650" t="s">
        <v>38</v>
      </c>
    </row>
    <row r="651" spans="1:9" x14ac:dyDescent="0.35">
      <c r="A651" t="s">
        <v>1320</v>
      </c>
      <c r="B651" t="s">
        <v>1321</v>
      </c>
      <c r="C651" s="1">
        <v>45259</v>
      </c>
      <c r="D651" t="s">
        <v>37</v>
      </c>
      <c r="E651" t="s">
        <v>12</v>
      </c>
      <c r="F651">
        <v>2</v>
      </c>
      <c r="G651">
        <v>12.42</v>
      </c>
      <c r="H651">
        <v>24.84</v>
      </c>
      <c r="I651" t="s">
        <v>38</v>
      </c>
    </row>
    <row r="652" spans="1:9" x14ac:dyDescent="0.35">
      <c r="A652" t="s">
        <v>1322</v>
      </c>
      <c r="B652" t="s">
        <v>1323</v>
      </c>
      <c r="C652" s="1">
        <v>45073</v>
      </c>
      <c r="D652" t="s">
        <v>69</v>
      </c>
      <c r="E652" t="s">
        <v>47</v>
      </c>
      <c r="F652">
        <v>6</v>
      </c>
      <c r="G652">
        <v>109.87</v>
      </c>
      <c r="H652">
        <v>659.22</v>
      </c>
      <c r="I652" t="s">
        <v>13</v>
      </c>
    </row>
    <row r="653" spans="1:9" x14ac:dyDescent="0.35">
      <c r="A653" t="s">
        <v>1324</v>
      </c>
      <c r="B653" t="s">
        <v>1325</v>
      </c>
      <c r="C653" s="1">
        <v>45648</v>
      </c>
      <c r="D653" t="s">
        <v>20</v>
      </c>
      <c r="E653" t="s">
        <v>16</v>
      </c>
      <c r="G653">
        <v>188.45</v>
      </c>
      <c r="I653" t="s">
        <v>21</v>
      </c>
    </row>
    <row r="654" spans="1:9" x14ac:dyDescent="0.35">
      <c r="A654" t="s">
        <v>1326</v>
      </c>
      <c r="B654" t="s">
        <v>931</v>
      </c>
      <c r="C654" s="1">
        <v>45241</v>
      </c>
      <c r="D654" t="s">
        <v>69</v>
      </c>
      <c r="E654" t="s">
        <v>28</v>
      </c>
      <c r="F654">
        <v>2</v>
      </c>
      <c r="G654">
        <v>169.9</v>
      </c>
      <c r="H654">
        <v>339.8</v>
      </c>
      <c r="I654" t="s">
        <v>17</v>
      </c>
    </row>
    <row r="655" spans="1:9" x14ac:dyDescent="0.35">
      <c r="A655" t="s">
        <v>1327</v>
      </c>
      <c r="B655" t="s">
        <v>1328</v>
      </c>
      <c r="C655" s="1">
        <v>45415</v>
      </c>
      <c r="D655" t="s">
        <v>69</v>
      </c>
      <c r="E655" t="s">
        <v>24</v>
      </c>
      <c r="G655">
        <v>82.64</v>
      </c>
      <c r="I655" t="s">
        <v>13</v>
      </c>
    </row>
    <row r="656" spans="1:9" x14ac:dyDescent="0.35">
      <c r="A656" t="s">
        <v>1329</v>
      </c>
      <c r="B656" t="s">
        <v>1330</v>
      </c>
      <c r="C656" s="1">
        <v>45392</v>
      </c>
      <c r="D656" t="s">
        <v>27</v>
      </c>
      <c r="E656" t="s">
        <v>47</v>
      </c>
      <c r="F656">
        <v>9</v>
      </c>
      <c r="G656">
        <v>190.5</v>
      </c>
      <c r="H656">
        <v>1714.5</v>
      </c>
      <c r="I656" t="s">
        <v>52</v>
      </c>
    </row>
    <row r="657" spans="1:9" x14ac:dyDescent="0.35">
      <c r="A657" t="s">
        <v>1331</v>
      </c>
      <c r="B657" t="s">
        <v>1332</v>
      </c>
      <c r="C657" s="1">
        <v>45508</v>
      </c>
      <c r="D657" t="s">
        <v>20</v>
      </c>
      <c r="E657" t="s">
        <v>24</v>
      </c>
      <c r="G657">
        <v>84.84</v>
      </c>
      <c r="I657" t="s">
        <v>38</v>
      </c>
    </row>
    <row r="658" spans="1:9" x14ac:dyDescent="0.35">
      <c r="A658" t="s">
        <v>1333</v>
      </c>
      <c r="B658" t="s">
        <v>1334</v>
      </c>
      <c r="C658" s="1">
        <v>45080</v>
      </c>
      <c r="D658" t="s">
        <v>11</v>
      </c>
      <c r="E658" t="s">
        <v>28</v>
      </c>
      <c r="G658">
        <v>42.43</v>
      </c>
      <c r="I658" t="s">
        <v>31</v>
      </c>
    </row>
    <row r="659" spans="1:9" x14ac:dyDescent="0.35">
      <c r="A659" t="s">
        <v>1335</v>
      </c>
      <c r="B659" t="s">
        <v>1336</v>
      </c>
      <c r="C659" s="1">
        <v>45339</v>
      </c>
      <c r="D659" t="s">
        <v>27</v>
      </c>
      <c r="E659" t="s">
        <v>24</v>
      </c>
      <c r="F659">
        <v>6</v>
      </c>
      <c r="G659">
        <v>169.56</v>
      </c>
      <c r="H659">
        <v>1017.36</v>
      </c>
      <c r="I659" t="s">
        <v>13</v>
      </c>
    </row>
    <row r="660" spans="1:9" x14ac:dyDescent="0.35">
      <c r="A660" t="s">
        <v>1337</v>
      </c>
      <c r="B660" t="s">
        <v>1338</v>
      </c>
      <c r="C660" s="1">
        <v>45523</v>
      </c>
      <c r="D660" t="s">
        <v>11</v>
      </c>
      <c r="E660" t="s">
        <v>24</v>
      </c>
      <c r="G660">
        <v>46.65</v>
      </c>
      <c r="I660" t="s">
        <v>21</v>
      </c>
    </row>
    <row r="661" spans="1:9" x14ac:dyDescent="0.35">
      <c r="A661" t="s">
        <v>1339</v>
      </c>
      <c r="B661" t="s">
        <v>1340</v>
      </c>
      <c r="C661" s="1">
        <v>45420</v>
      </c>
      <c r="D661" t="s">
        <v>27</v>
      </c>
      <c r="E661" t="s">
        <v>28</v>
      </c>
      <c r="G661">
        <v>115.72</v>
      </c>
      <c r="I661" t="s">
        <v>21</v>
      </c>
    </row>
    <row r="662" spans="1:9" x14ac:dyDescent="0.35">
      <c r="A662" t="s">
        <v>1341</v>
      </c>
      <c r="B662" t="s">
        <v>1342</v>
      </c>
      <c r="C662" s="1">
        <v>45349</v>
      </c>
      <c r="D662" t="s">
        <v>69</v>
      </c>
      <c r="E662" t="s">
        <v>16</v>
      </c>
      <c r="F662">
        <v>8</v>
      </c>
      <c r="G662">
        <v>115.08</v>
      </c>
      <c r="H662">
        <v>920.64</v>
      </c>
      <c r="I662" t="s">
        <v>13</v>
      </c>
    </row>
    <row r="663" spans="1:9" x14ac:dyDescent="0.35">
      <c r="A663" t="s">
        <v>1343</v>
      </c>
      <c r="B663" t="s">
        <v>1344</v>
      </c>
      <c r="C663" s="1">
        <v>45614</v>
      </c>
      <c r="D663" t="s">
        <v>34</v>
      </c>
      <c r="E663" t="s">
        <v>47</v>
      </c>
      <c r="G663">
        <v>99.78</v>
      </c>
      <c r="I663" t="s">
        <v>13</v>
      </c>
    </row>
    <row r="664" spans="1:9" x14ac:dyDescent="0.35">
      <c r="A664" t="s">
        <v>1345</v>
      </c>
      <c r="B664" t="s">
        <v>1346</v>
      </c>
      <c r="C664" s="1">
        <v>45504</v>
      </c>
      <c r="D664" t="s">
        <v>11</v>
      </c>
      <c r="E664" t="s">
        <v>12</v>
      </c>
      <c r="G664">
        <v>184.17</v>
      </c>
      <c r="I664" t="s">
        <v>31</v>
      </c>
    </row>
    <row r="665" spans="1:9" x14ac:dyDescent="0.35">
      <c r="A665" t="s">
        <v>1347</v>
      </c>
      <c r="B665" t="s">
        <v>1348</v>
      </c>
      <c r="C665" s="1">
        <v>45673</v>
      </c>
      <c r="D665" t="s">
        <v>69</v>
      </c>
      <c r="E665" t="s">
        <v>28</v>
      </c>
      <c r="G665">
        <v>107.92</v>
      </c>
      <c r="I665" t="s">
        <v>13</v>
      </c>
    </row>
    <row r="666" spans="1:9" x14ac:dyDescent="0.35">
      <c r="A666" t="s">
        <v>1349</v>
      </c>
      <c r="B666" t="s">
        <v>1190</v>
      </c>
      <c r="C666" s="1">
        <v>45102</v>
      </c>
      <c r="D666" t="s">
        <v>27</v>
      </c>
      <c r="E666" t="s">
        <v>16</v>
      </c>
      <c r="G666">
        <v>75.59</v>
      </c>
      <c r="I666" t="s">
        <v>52</v>
      </c>
    </row>
    <row r="667" spans="1:9" x14ac:dyDescent="0.35">
      <c r="A667" t="s">
        <v>1350</v>
      </c>
      <c r="B667" t="s">
        <v>1351</v>
      </c>
      <c r="C667" s="1">
        <v>45772</v>
      </c>
      <c r="D667" t="s">
        <v>34</v>
      </c>
      <c r="E667" t="s">
        <v>16</v>
      </c>
      <c r="F667">
        <v>3</v>
      </c>
      <c r="G667">
        <v>187.26</v>
      </c>
      <c r="H667">
        <v>561.78</v>
      </c>
      <c r="I667" t="s">
        <v>21</v>
      </c>
    </row>
    <row r="668" spans="1:9" x14ac:dyDescent="0.35">
      <c r="A668" t="s">
        <v>1352</v>
      </c>
      <c r="B668" t="s">
        <v>1353</v>
      </c>
      <c r="C668" s="1">
        <v>45708</v>
      </c>
      <c r="D668" t="s">
        <v>27</v>
      </c>
      <c r="E668" t="s">
        <v>28</v>
      </c>
      <c r="G668">
        <v>48.57</v>
      </c>
      <c r="I668" t="s">
        <v>21</v>
      </c>
    </row>
    <row r="669" spans="1:9" x14ac:dyDescent="0.35">
      <c r="A669" t="s">
        <v>1354</v>
      </c>
      <c r="B669" t="s">
        <v>1355</v>
      </c>
      <c r="C669" s="1">
        <v>45571</v>
      </c>
      <c r="D669" t="s">
        <v>11</v>
      </c>
      <c r="E669" t="s">
        <v>47</v>
      </c>
      <c r="G669">
        <v>151.05000000000001</v>
      </c>
      <c r="I669" t="s">
        <v>38</v>
      </c>
    </row>
    <row r="670" spans="1:9" x14ac:dyDescent="0.35">
      <c r="A670" t="s">
        <v>1356</v>
      </c>
      <c r="B670" t="s">
        <v>1357</v>
      </c>
      <c r="C670" s="1">
        <v>45632</v>
      </c>
      <c r="D670" t="s">
        <v>37</v>
      </c>
      <c r="E670" t="s">
        <v>24</v>
      </c>
      <c r="F670">
        <v>3</v>
      </c>
      <c r="G670">
        <v>118.81</v>
      </c>
      <c r="H670">
        <v>356.43</v>
      </c>
      <c r="I670" t="s">
        <v>52</v>
      </c>
    </row>
    <row r="671" spans="1:9" x14ac:dyDescent="0.35">
      <c r="A671" t="s">
        <v>1358</v>
      </c>
      <c r="B671" t="s">
        <v>1359</v>
      </c>
      <c r="C671" s="1">
        <v>45568</v>
      </c>
      <c r="D671" t="s">
        <v>11</v>
      </c>
      <c r="E671" t="s">
        <v>12</v>
      </c>
      <c r="F671">
        <v>5</v>
      </c>
      <c r="G671">
        <v>35.340000000000003</v>
      </c>
      <c r="H671">
        <v>176.7</v>
      </c>
      <c r="I671" t="s">
        <v>17</v>
      </c>
    </row>
    <row r="672" spans="1:9" x14ac:dyDescent="0.35">
      <c r="A672" t="s">
        <v>1360</v>
      </c>
      <c r="B672" t="s">
        <v>1361</v>
      </c>
      <c r="C672" s="1">
        <v>45286</v>
      </c>
      <c r="D672" t="s">
        <v>27</v>
      </c>
      <c r="E672" t="s">
        <v>24</v>
      </c>
      <c r="G672">
        <v>62.06</v>
      </c>
      <c r="I672" t="s">
        <v>17</v>
      </c>
    </row>
    <row r="673" spans="1:9" x14ac:dyDescent="0.35">
      <c r="A673" t="s">
        <v>1362</v>
      </c>
      <c r="B673" t="s">
        <v>1363</v>
      </c>
      <c r="C673" s="1">
        <v>45524</v>
      </c>
      <c r="D673" t="s">
        <v>27</v>
      </c>
      <c r="E673" t="s">
        <v>47</v>
      </c>
      <c r="F673">
        <v>2</v>
      </c>
      <c r="G673">
        <v>77.17</v>
      </c>
      <c r="H673">
        <v>154.34</v>
      </c>
      <c r="I673" t="s">
        <v>17</v>
      </c>
    </row>
    <row r="674" spans="1:9" x14ac:dyDescent="0.35">
      <c r="A674" t="s">
        <v>1364</v>
      </c>
      <c r="B674" t="s">
        <v>1365</v>
      </c>
      <c r="C674" s="1">
        <v>45382</v>
      </c>
      <c r="D674" t="s">
        <v>11</v>
      </c>
      <c r="E674" t="s">
        <v>28</v>
      </c>
      <c r="G674">
        <v>170.17</v>
      </c>
      <c r="I674" t="s">
        <v>38</v>
      </c>
    </row>
    <row r="675" spans="1:9" x14ac:dyDescent="0.35">
      <c r="A675" t="s">
        <v>1366</v>
      </c>
      <c r="B675" t="s">
        <v>1367</v>
      </c>
      <c r="C675" s="1">
        <v>45158</v>
      </c>
      <c r="D675" t="s">
        <v>27</v>
      </c>
      <c r="E675" t="s">
        <v>12</v>
      </c>
      <c r="G675">
        <v>68.709999999999994</v>
      </c>
      <c r="I675" t="s">
        <v>17</v>
      </c>
    </row>
    <row r="676" spans="1:9" x14ac:dyDescent="0.35">
      <c r="A676" t="s">
        <v>1368</v>
      </c>
      <c r="B676" t="s">
        <v>1369</v>
      </c>
      <c r="C676" s="1">
        <v>45534</v>
      </c>
      <c r="D676" t="s">
        <v>11</v>
      </c>
      <c r="E676" t="s">
        <v>28</v>
      </c>
      <c r="G676">
        <v>167.9</v>
      </c>
      <c r="I676" t="s">
        <v>17</v>
      </c>
    </row>
    <row r="677" spans="1:9" x14ac:dyDescent="0.35">
      <c r="A677" t="s">
        <v>1370</v>
      </c>
      <c r="B677" t="s">
        <v>1371</v>
      </c>
      <c r="C677" s="1">
        <v>45276</v>
      </c>
      <c r="D677" t="s">
        <v>34</v>
      </c>
      <c r="E677" t="s">
        <v>16</v>
      </c>
      <c r="F677">
        <v>1</v>
      </c>
      <c r="G677">
        <v>177.85</v>
      </c>
      <c r="H677">
        <v>177.85</v>
      </c>
      <c r="I677" t="s">
        <v>31</v>
      </c>
    </row>
    <row r="678" spans="1:9" x14ac:dyDescent="0.35">
      <c r="A678" t="s">
        <v>1372</v>
      </c>
      <c r="B678" t="s">
        <v>1373</v>
      </c>
      <c r="C678" s="1">
        <v>45295</v>
      </c>
      <c r="D678" t="s">
        <v>69</v>
      </c>
      <c r="E678" t="s">
        <v>28</v>
      </c>
      <c r="G678">
        <v>81.900000000000006</v>
      </c>
      <c r="I678" t="s">
        <v>31</v>
      </c>
    </row>
    <row r="679" spans="1:9" x14ac:dyDescent="0.35">
      <c r="A679" t="s">
        <v>1374</v>
      </c>
      <c r="B679" t="s">
        <v>1375</v>
      </c>
      <c r="C679" s="1">
        <v>45649</v>
      </c>
      <c r="D679" t="s">
        <v>69</v>
      </c>
      <c r="E679" t="s">
        <v>12</v>
      </c>
      <c r="F679">
        <v>9</v>
      </c>
      <c r="G679">
        <v>171.1</v>
      </c>
      <c r="H679">
        <v>1539.9</v>
      </c>
      <c r="I679" t="s">
        <v>52</v>
      </c>
    </row>
    <row r="680" spans="1:9" x14ac:dyDescent="0.35">
      <c r="A680" t="s">
        <v>1376</v>
      </c>
      <c r="B680" t="s">
        <v>1377</v>
      </c>
      <c r="C680" s="1">
        <v>45398</v>
      </c>
      <c r="D680" t="s">
        <v>11</v>
      </c>
      <c r="E680" t="s">
        <v>24</v>
      </c>
      <c r="G680">
        <v>62.35</v>
      </c>
      <c r="I680" t="s">
        <v>21</v>
      </c>
    </row>
    <row r="681" spans="1:9" x14ac:dyDescent="0.35">
      <c r="A681" t="s">
        <v>1378</v>
      </c>
      <c r="B681" t="s">
        <v>1379</v>
      </c>
      <c r="C681" s="1">
        <v>45398</v>
      </c>
      <c r="D681" t="s">
        <v>69</v>
      </c>
      <c r="E681" t="s">
        <v>16</v>
      </c>
      <c r="F681">
        <v>1</v>
      </c>
      <c r="G681">
        <v>47.19</v>
      </c>
      <c r="H681">
        <v>47.19</v>
      </c>
      <c r="I681" t="s">
        <v>38</v>
      </c>
    </row>
    <row r="682" spans="1:9" x14ac:dyDescent="0.35">
      <c r="A682" t="s">
        <v>1380</v>
      </c>
      <c r="B682" t="s">
        <v>1381</v>
      </c>
      <c r="C682" s="1">
        <v>45277</v>
      </c>
      <c r="D682" t="s">
        <v>11</v>
      </c>
      <c r="E682" t="s">
        <v>47</v>
      </c>
      <c r="F682">
        <v>9</v>
      </c>
      <c r="G682">
        <v>79.599999999999994</v>
      </c>
      <c r="H682">
        <v>716.4</v>
      </c>
      <c r="I682" t="s">
        <v>38</v>
      </c>
    </row>
    <row r="683" spans="1:9" x14ac:dyDescent="0.35">
      <c r="A683" t="s">
        <v>1382</v>
      </c>
      <c r="B683" t="s">
        <v>1383</v>
      </c>
      <c r="C683" s="1">
        <v>45437</v>
      </c>
      <c r="D683" t="s">
        <v>11</v>
      </c>
      <c r="E683" t="s">
        <v>28</v>
      </c>
      <c r="F683">
        <v>9</v>
      </c>
      <c r="G683">
        <v>80.69</v>
      </c>
      <c r="H683">
        <v>726.21</v>
      </c>
      <c r="I683" t="s">
        <v>38</v>
      </c>
    </row>
    <row r="684" spans="1:9" x14ac:dyDescent="0.35">
      <c r="A684" t="s">
        <v>1384</v>
      </c>
      <c r="B684" t="s">
        <v>1385</v>
      </c>
      <c r="C684" s="1">
        <v>45544</v>
      </c>
      <c r="D684" t="s">
        <v>69</v>
      </c>
      <c r="E684" t="s">
        <v>24</v>
      </c>
      <c r="F684">
        <v>9</v>
      </c>
      <c r="G684">
        <v>116.28</v>
      </c>
      <c r="H684">
        <v>1046.52</v>
      </c>
      <c r="I684" t="s">
        <v>17</v>
      </c>
    </row>
    <row r="685" spans="1:9" x14ac:dyDescent="0.35">
      <c r="A685" t="s">
        <v>1386</v>
      </c>
      <c r="B685" t="s">
        <v>1387</v>
      </c>
      <c r="C685" s="1">
        <v>45191</v>
      </c>
      <c r="D685" t="s">
        <v>27</v>
      </c>
      <c r="E685" t="s">
        <v>47</v>
      </c>
      <c r="F685">
        <v>6</v>
      </c>
      <c r="G685">
        <v>100.63</v>
      </c>
      <c r="H685">
        <v>603.78</v>
      </c>
      <c r="I685" t="s">
        <v>17</v>
      </c>
    </row>
    <row r="686" spans="1:9" x14ac:dyDescent="0.35">
      <c r="A686" t="s">
        <v>1388</v>
      </c>
      <c r="B686" t="s">
        <v>1389</v>
      </c>
      <c r="C686" s="1">
        <v>45523</v>
      </c>
      <c r="D686" t="s">
        <v>20</v>
      </c>
      <c r="E686" t="s">
        <v>16</v>
      </c>
      <c r="G686">
        <v>65.989999999999995</v>
      </c>
      <c r="I686" t="s">
        <v>31</v>
      </c>
    </row>
    <row r="687" spans="1:9" x14ac:dyDescent="0.35">
      <c r="A687" t="s">
        <v>1390</v>
      </c>
      <c r="B687" t="s">
        <v>1391</v>
      </c>
      <c r="C687" s="1">
        <v>45160</v>
      </c>
      <c r="D687" t="s">
        <v>20</v>
      </c>
      <c r="E687" t="s">
        <v>16</v>
      </c>
      <c r="F687">
        <v>1</v>
      </c>
      <c r="G687">
        <v>187.52</v>
      </c>
      <c r="H687">
        <v>187.52</v>
      </c>
      <c r="I687" t="s">
        <v>17</v>
      </c>
    </row>
    <row r="688" spans="1:9" x14ac:dyDescent="0.35">
      <c r="A688" t="s">
        <v>1392</v>
      </c>
      <c r="B688" t="s">
        <v>1393</v>
      </c>
      <c r="C688" s="1">
        <v>45267</v>
      </c>
      <c r="D688" t="s">
        <v>34</v>
      </c>
      <c r="E688" t="s">
        <v>24</v>
      </c>
      <c r="G688">
        <v>40.700000000000003</v>
      </c>
      <c r="I688" t="s">
        <v>21</v>
      </c>
    </row>
    <row r="689" spans="1:9" x14ac:dyDescent="0.35">
      <c r="A689" t="s">
        <v>1394</v>
      </c>
      <c r="B689" t="s">
        <v>1395</v>
      </c>
      <c r="C689" s="1">
        <v>45212</v>
      </c>
      <c r="D689" t="s">
        <v>69</v>
      </c>
      <c r="E689" t="s">
        <v>12</v>
      </c>
      <c r="G689">
        <v>85.84</v>
      </c>
      <c r="I689" t="s">
        <v>21</v>
      </c>
    </row>
    <row r="690" spans="1:9" x14ac:dyDescent="0.35">
      <c r="A690" t="s">
        <v>1396</v>
      </c>
      <c r="B690" t="s">
        <v>1397</v>
      </c>
      <c r="C690" s="1">
        <v>45686</v>
      </c>
      <c r="D690" t="s">
        <v>37</v>
      </c>
      <c r="E690" t="s">
        <v>16</v>
      </c>
      <c r="F690">
        <v>8</v>
      </c>
      <c r="G690">
        <v>41.69</v>
      </c>
      <c r="I690" t="s">
        <v>52</v>
      </c>
    </row>
    <row r="691" spans="1:9" x14ac:dyDescent="0.35">
      <c r="A691" t="s">
        <v>1398</v>
      </c>
      <c r="B691" t="s">
        <v>1399</v>
      </c>
      <c r="C691" s="1">
        <v>45517</v>
      </c>
      <c r="D691" t="s">
        <v>11</v>
      </c>
      <c r="E691" t="s">
        <v>28</v>
      </c>
      <c r="G691">
        <v>143.57</v>
      </c>
      <c r="I691" t="s">
        <v>13</v>
      </c>
    </row>
    <row r="692" spans="1:9" x14ac:dyDescent="0.35">
      <c r="A692" t="s">
        <v>1400</v>
      </c>
      <c r="B692" t="s">
        <v>1401</v>
      </c>
      <c r="C692" s="1">
        <v>45466</v>
      </c>
      <c r="D692" t="s">
        <v>34</v>
      </c>
      <c r="E692" t="s">
        <v>28</v>
      </c>
      <c r="G692">
        <v>179.83</v>
      </c>
      <c r="I692" t="s">
        <v>52</v>
      </c>
    </row>
    <row r="693" spans="1:9" x14ac:dyDescent="0.35">
      <c r="A693" t="s">
        <v>1402</v>
      </c>
      <c r="B693" t="s">
        <v>1403</v>
      </c>
      <c r="C693" s="1">
        <v>45651</v>
      </c>
      <c r="D693" t="s">
        <v>20</v>
      </c>
      <c r="E693" t="s">
        <v>28</v>
      </c>
      <c r="G693">
        <v>198.43</v>
      </c>
      <c r="I693" t="s">
        <v>52</v>
      </c>
    </row>
    <row r="694" spans="1:9" x14ac:dyDescent="0.35">
      <c r="A694" t="s">
        <v>1404</v>
      </c>
      <c r="B694" t="s">
        <v>1405</v>
      </c>
      <c r="C694" s="1">
        <v>45710</v>
      </c>
      <c r="D694" t="s">
        <v>69</v>
      </c>
      <c r="E694" t="s">
        <v>28</v>
      </c>
      <c r="G694">
        <v>128.13</v>
      </c>
      <c r="I694" t="s">
        <v>31</v>
      </c>
    </row>
    <row r="695" spans="1:9" x14ac:dyDescent="0.35">
      <c r="A695" t="s">
        <v>1406</v>
      </c>
      <c r="B695" t="s">
        <v>1407</v>
      </c>
      <c r="C695" s="1">
        <v>45102</v>
      </c>
      <c r="D695" t="s">
        <v>20</v>
      </c>
      <c r="E695" t="s">
        <v>47</v>
      </c>
      <c r="F695">
        <v>6</v>
      </c>
      <c r="G695">
        <v>67.709999999999994</v>
      </c>
      <c r="H695">
        <v>406.26</v>
      </c>
      <c r="I695" t="s">
        <v>17</v>
      </c>
    </row>
    <row r="696" spans="1:9" x14ac:dyDescent="0.35">
      <c r="A696" t="s">
        <v>1408</v>
      </c>
      <c r="B696" t="s">
        <v>1409</v>
      </c>
      <c r="C696" s="1">
        <v>45385</v>
      </c>
      <c r="D696" t="s">
        <v>69</v>
      </c>
      <c r="E696" t="s">
        <v>47</v>
      </c>
      <c r="G696">
        <v>127.34</v>
      </c>
      <c r="I696" t="s">
        <v>52</v>
      </c>
    </row>
    <row r="697" spans="1:9" x14ac:dyDescent="0.35">
      <c r="A697" t="s">
        <v>1410</v>
      </c>
      <c r="B697" t="s">
        <v>1411</v>
      </c>
      <c r="C697" s="1">
        <v>45065</v>
      </c>
      <c r="D697" t="s">
        <v>69</v>
      </c>
      <c r="E697" t="s">
        <v>47</v>
      </c>
      <c r="G697">
        <v>171</v>
      </c>
      <c r="I697" t="s">
        <v>31</v>
      </c>
    </row>
    <row r="698" spans="1:9" x14ac:dyDescent="0.35">
      <c r="A698" t="s">
        <v>1412</v>
      </c>
      <c r="B698" t="s">
        <v>1413</v>
      </c>
      <c r="C698" s="1">
        <v>45626</v>
      </c>
      <c r="D698" t="s">
        <v>27</v>
      </c>
      <c r="E698" t="s">
        <v>24</v>
      </c>
      <c r="F698">
        <v>2</v>
      </c>
      <c r="G698">
        <v>17.37</v>
      </c>
      <c r="H698">
        <v>34.74</v>
      </c>
      <c r="I698" t="s">
        <v>13</v>
      </c>
    </row>
    <row r="699" spans="1:9" x14ac:dyDescent="0.35">
      <c r="A699" t="s">
        <v>1414</v>
      </c>
      <c r="B699" t="s">
        <v>1415</v>
      </c>
      <c r="C699" s="1">
        <v>45250</v>
      </c>
      <c r="D699" t="s">
        <v>11</v>
      </c>
      <c r="E699" t="s">
        <v>12</v>
      </c>
      <c r="F699">
        <v>8</v>
      </c>
      <c r="G699">
        <v>41.61</v>
      </c>
      <c r="H699">
        <v>332.88</v>
      </c>
      <c r="I699" t="s">
        <v>17</v>
      </c>
    </row>
    <row r="700" spans="1:9" x14ac:dyDescent="0.35">
      <c r="A700" t="s">
        <v>1416</v>
      </c>
      <c r="B700" t="s">
        <v>1417</v>
      </c>
      <c r="C700" s="1">
        <v>45378</v>
      </c>
      <c r="D700" t="s">
        <v>11</v>
      </c>
      <c r="E700" t="s">
        <v>24</v>
      </c>
      <c r="F700">
        <v>3</v>
      </c>
      <c r="G700">
        <v>97.6</v>
      </c>
      <c r="H700">
        <v>292.8</v>
      </c>
      <c r="I700" t="s">
        <v>31</v>
      </c>
    </row>
    <row r="701" spans="1:9" x14ac:dyDescent="0.35">
      <c r="A701" t="s">
        <v>1418</v>
      </c>
      <c r="B701" t="s">
        <v>1419</v>
      </c>
      <c r="C701" s="1">
        <v>45266</v>
      </c>
      <c r="D701" t="s">
        <v>20</v>
      </c>
      <c r="E701" t="s">
        <v>47</v>
      </c>
      <c r="F701">
        <v>7</v>
      </c>
      <c r="G701">
        <v>49.62</v>
      </c>
      <c r="H701">
        <v>347.34</v>
      </c>
      <c r="I701" t="s">
        <v>13</v>
      </c>
    </row>
    <row r="702" spans="1:9" x14ac:dyDescent="0.35">
      <c r="A702" t="s">
        <v>1420</v>
      </c>
      <c r="B702" t="s">
        <v>1421</v>
      </c>
      <c r="C702" s="1">
        <v>45652</v>
      </c>
      <c r="D702" t="s">
        <v>27</v>
      </c>
      <c r="E702" t="s">
        <v>47</v>
      </c>
      <c r="G702">
        <v>141.37</v>
      </c>
      <c r="I702" t="s">
        <v>17</v>
      </c>
    </row>
    <row r="703" spans="1:9" x14ac:dyDescent="0.35">
      <c r="A703" t="s">
        <v>1422</v>
      </c>
      <c r="B703" t="s">
        <v>1423</v>
      </c>
      <c r="C703" s="1">
        <v>45541</v>
      </c>
      <c r="D703" t="s">
        <v>37</v>
      </c>
      <c r="E703" t="s">
        <v>47</v>
      </c>
      <c r="F703">
        <v>7</v>
      </c>
      <c r="G703">
        <v>36.049999999999997</v>
      </c>
      <c r="H703">
        <v>252.35</v>
      </c>
      <c r="I703" t="s">
        <v>38</v>
      </c>
    </row>
    <row r="704" spans="1:9" x14ac:dyDescent="0.35">
      <c r="A704" t="s">
        <v>1424</v>
      </c>
      <c r="B704" t="s">
        <v>1425</v>
      </c>
      <c r="C704" s="1">
        <v>45282</v>
      </c>
      <c r="D704" t="s">
        <v>20</v>
      </c>
      <c r="E704" t="s">
        <v>24</v>
      </c>
      <c r="F704">
        <v>2</v>
      </c>
      <c r="G704">
        <v>197.04</v>
      </c>
      <c r="H704">
        <v>394.08</v>
      </c>
      <c r="I704" t="s">
        <v>38</v>
      </c>
    </row>
    <row r="705" spans="1:9" x14ac:dyDescent="0.35">
      <c r="A705" t="s">
        <v>1426</v>
      </c>
      <c r="B705" t="s">
        <v>1427</v>
      </c>
      <c r="C705" s="1">
        <v>45720</v>
      </c>
      <c r="D705" t="s">
        <v>34</v>
      </c>
      <c r="E705" t="s">
        <v>12</v>
      </c>
      <c r="G705">
        <v>119.42</v>
      </c>
      <c r="I705" t="s">
        <v>38</v>
      </c>
    </row>
    <row r="706" spans="1:9" x14ac:dyDescent="0.35">
      <c r="A706" t="s">
        <v>1428</v>
      </c>
      <c r="B706" t="s">
        <v>1429</v>
      </c>
      <c r="C706" s="1">
        <v>45559</v>
      </c>
      <c r="D706" t="s">
        <v>34</v>
      </c>
      <c r="E706" t="s">
        <v>28</v>
      </c>
      <c r="F706">
        <v>3</v>
      </c>
      <c r="G706">
        <v>12.38</v>
      </c>
      <c r="H706">
        <v>37.14</v>
      </c>
      <c r="I706" t="s">
        <v>13</v>
      </c>
    </row>
    <row r="707" spans="1:9" x14ac:dyDescent="0.35">
      <c r="A707" t="s">
        <v>1430</v>
      </c>
      <c r="B707" t="s">
        <v>1431</v>
      </c>
      <c r="C707" s="1">
        <v>45282</v>
      </c>
      <c r="D707" t="s">
        <v>11</v>
      </c>
      <c r="E707" t="s">
        <v>28</v>
      </c>
      <c r="G707">
        <v>23.09</v>
      </c>
      <c r="I707" t="s">
        <v>21</v>
      </c>
    </row>
    <row r="708" spans="1:9" x14ac:dyDescent="0.35">
      <c r="A708" t="s">
        <v>1432</v>
      </c>
      <c r="B708" t="s">
        <v>1433</v>
      </c>
      <c r="C708" s="1">
        <v>45697</v>
      </c>
      <c r="D708" t="s">
        <v>11</v>
      </c>
      <c r="E708" t="s">
        <v>12</v>
      </c>
      <c r="G708">
        <v>42.18</v>
      </c>
      <c r="I708" t="s">
        <v>38</v>
      </c>
    </row>
    <row r="709" spans="1:9" x14ac:dyDescent="0.35">
      <c r="A709" t="s">
        <v>1434</v>
      </c>
      <c r="B709" t="s">
        <v>1435</v>
      </c>
      <c r="C709" s="1">
        <v>45649</v>
      </c>
      <c r="D709" t="s">
        <v>34</v>
      </c>
      <c r="E709" t="s">
        <v>24</v>
      </c>
      <c r="F709">
        <v>7</v>
      </c>
      <c r="G709">
        <v>165.15</v>
      </c>
      <c r="H709">
        <v>1156.05</v>
      </c>
      <c r="I709" t="s">
        <v>21</v>
      </c>
    </row>
    <row r="710" spans="1:9" x14ac:dyDescent="0.35">
      <c r="A710" t="s">
        <v>1436</v>
      </c>
      <c r="B710" t="s">
        <v>1437</v>
      </c>
      <c r="C710" s="1">
        <v>45230</v>
      </c>
      <c r="D710" t="s">
        <v>37</v>
      </c>
      <c r="E710" t="s">
        <v>24</v>
      </c>
      <c r="F710">
        <v>5</v>
      </c>
      <c r="G710">
        <v>51.66</v>
      </c>
      <c r="I710" t="s">
        <v>52</v>
      </c>
    </row>
    <row r="711" spans="1:9" x14ac:dyDescent="0.35">
      <c r="A711" t="s">
        <v>1438</v>
      </c>
      <c r="B711" t="s">
        <v>1439</v>
      </c>
      <c r="C711" s="1">
        <v>45765</v>
      </c>
      <c r="D711" t="s">
        <v>27</v>
      </c>
      <c r="E711" t="s">
        <v>24</v>
      </c>
      <c r="F711">
        <v>7</v>
      </c>
      <c r="G711">
        <v>164.95</v>
      </c>
      <c r="H711">
        <v>1154.6500000000001</v>
      </c>
      <c r="I711" t="s">
        <v>38</v>
      </c>
    </row>
    <row r="712" spans="1:9" x14ac:dyDescent="0.35">
      <c r="A712" t="s">
        <v>1440</v>
      </c>
      <c r="B712" t="s">
        <v>1441</v>
      </c>
      <c r="C712" s="1">
        <v>45703</v>
      </c>
      <c r="D712" t="s">
        <v>11</v>
      </c>
      <c r="E712" t="s">
        <v>47</v>
      </c>
      <c r="F712">
        <v>9</v>
      </c>
      <c r="G712">
        <v>67.83</v>
      </c>
      <c r="H712">
        <v>610.47</v>
      </c>
      <c r="I712" t="s">
        <v>17</v>
      </c>
    </row>
    <row r="713" spans="1:9" x14ac:dyDescent="0.35">
      <c r="A713" t="s">
        <v>1442</v>
      </c>
      <c r="B713" t="s">
        <v>1443</v>
      </c>
      <c r="C713" s="1">
        <v>45533</v>
      </c>
      <c r="D713" t="s">
        <v>27</v>
      </c>
      <c r="E713" t="s">
        <v>12</v>
      </c>
      <c r="G713">
        <v>68.239999999999995</v>
      </c>
      <c r="I713" t="s">
        <v>17</v>
      </c>
    </row>
    <row r="714" spans="1:9" x14ac:dyDescent="0.35">
      <c r="A714" t="s">
        <v>1444</v>
      </c>
      <c r="B714" t="s">
        <v>1445</v>
      </c>
      <c r="C714" s="1">
        <v>45258</v>
      </c>
      <c r="D714" t="s">
        <v>34</v>
      </c>
      <c r="E714" t="s">
        <v>16</v>
      </c>
      <c r="G714">
        <v>33.549999999999997</v>
      </c>
      <c r="I714" t="s">
        <v>17</v>
      </c>
    </row>
    <row r="715" spans="1:9" x14ac:dyDescent="0.35">
      <c r="A715" t="s">
        <v>1446</v>
      </c>
      <c r="B715" t="s">
        <v>1447</v>
      </c>
      <c r="C715" s="1">
        <v>45478</v>
      </c>
      <c r="D715" t="s">
        <v>11</v>
      </c>
      <c r="E715" t="s">
        <v>47</v>
      </c>
      <c r="F715">
        <v>6</v>
      </c>
      <c r="G715">
        <v>20.36</v>
      </c>
      <c r="H715">
        <v>122.16</v>
      </c>
      <c r="I715" t="s">
        <v>38</v>
      </c>
    </row>
    <row r="716" spans="1:9" x14ac:dyDescent="0.35">
      <c r="A716" t="s">
        <v>1448</v>
      </c>
      <c r="B716" t="s">
        <v>1449</v>
      </c>
      <c r="C716" s="1">
        <v>45296</v>
      </c>
      <c r="D716" t="s">
        <v>27</v>
      </c>
      <c r="E716" t="s">
        <v>28</v>
      </c>
      <c r="F716">
        <v>9</v>
      </c>
      <c r="G716">
        <v>121.15</v>
      </c>
      <c r="H716">
        <v>1090.3499999999999</v>
      </c>
      <c r="I716" t="s">
        <v>21</v>
      </c>
    </row>
    <row r="717" spans="1:9" x14ac:dyDescent="0.35">
      <c r="A717" t="s">
        <v>1450</v>
      </c>
      <c r="B717" t="s">
        <v>1451</v>
      </c>
      <c r="C717" s="1">
        <v>45128</v>
      </c>
      <c r="D717" t="s">
        <v>11</v>
      </c>
      <c r="E717" t="s">
        <v>47</v>
      </c>
      <c r="G717">
        <v>55</v>
      </c>
      <c r="I717" t="s">
        <v>31</v>
      </c>
    </row>
    <row r="718" spans="1:9" x14ac:dyDescent="0.35">
      <c r="A718" t="s">
        <v>1452</v>
      </c>
      <c r="B718" t="s">
        <v>1453</v>
      </c>
      <c r="C718" s="1">
        <v>45285</v>
      </c>
      <c r="D718" t="s">
        <v>34</v>
      </c>
      <c r="E718" t="s">
        <v>47</v>
      </c>
      <c r="F718">
        <v>4</v>
      </c>
      <c r="G718">
        <v>166.8</v>
      </c>
      <c r="H718">
        <v>667.2</v>
      </c>
      <c r="I718" t="s">
        <v>31</v>
      </c>
    </row>
    <row r="719" spans="1:9" x14ac:dyDescent="0.35">
      <c r="A719" t="s">
        <v>1454</v>
      </c>
      <c r="B719" t="s">
        <v>1455</v>
      </c>
      <c r="C719" s="1">
        <v>45125</v>
      </c>
      <c r="D719" t="s">
        <v>34</v>
      </c>
      <c r="E719" t="s">
        <v>12</v>
      </c>
      <c r="F719">
        <v>9</v>
      </c>
      <c r="G719">
        <v>29.39</v>
      </c>
      <c r="H719">
        <v>264.51</v>
      </c>
      <c r="I719" t="s">
        <v>52</v>
      </c>
    </row>
    <row r="720" spans="1:9" x14ac:dyDescent="0.35">
      <c r="A720" t="s">
        <v>1456</v>
      </c>
      <c r="B720" t="s">
        <v>1457</v>
      </c>
      <c r="C720" s="1">
        <v>45762</v>
      </c>
      <c r="D720" t="s">
        <v>34</v>
      </c>
      <c r="E720" t="s">
        <v>24</v>
      </c>
      <c r="G720">
        <v>147.96</v>
      </c>
      <c r="I720" t="s">
        <v>13</v>
      </c>
    </row>
    <row r="721" spans="1:9" x14ac:dyDescent="0.35">
      <c r="A721" t="s">
        <v>1458</v>
      </c>
      <c r="B721" t="s">
        <v>1459</v>
      </c>
      <c r="C721" s="1">
        <v>45747</v>
      </c>
      <c r="D721" t="s">
        <v>27</v>
      </c>
      <c r="E721" t="s">
        <v>12</v>
      </c>
      <c r="F721">
        <v>3</v>
      </c>
      <c r="G721">
        <v>26.93</v>
      </c>
      <c r="H721">
        <v>80.790000000000006</v>
      </c>
      <c r="I721" t="s">
        <v>13</v>
      </c>
    </row>
    <row r="722" spans="1:9" x14ac:dyDescent="0.35">
      <c r="A722" t="s">
        <v>1460</v>
      </c>
      <c r="B722" t="s">
        <v>1461</v>
      </c>
      <c r="C722" s="1">
        <v>45595</v>
      </c>
      <c r="D722" t="s">
        <v>27</v>
      </c>
      <c r="E722" t="s">
        <v>47</v>
      </c>
      <c r="F722">
        <v>9</v>
      </c>
      <c r="G722">
        <v>164.88</v>
      </c>
      <c r="H722">
        <v>1483.92</v>
      </c>
      <c r="I722" t="s">
        <v>13</v>
      </c>
    </row>
    <row r="723" spans="1:9" x14ac:dyDescent="0.35">
      <c r="A723" t="s">
        <v>1462</v>
      </c>
      <c r="B723" t="s">
        <v>1463</v>
      </c>
      <c r="C723" s="1">
        <v>45526</v>
      </c>
      <c r="D723" t="s">
        <v>37</v>
      </c>
      <c r="E723" t="s">
        <v>28</v>
      </c>
      <c r="G723">
        <v>82.97</v>
      </c>
      <c r="I723" t="s">
        <v>52</v>
      </c>
    </row>
    <row r="724" spans="1:9" x14ac:dyDescent="0.35">
      <c r="A724" t="s">
        <v>1464</v>
      </c>
      <c r="B724" t="s">
        <v>1465</v>
      </c>
      <c r="C724" s="1">
        <v>45478</v>
      </c>
      <c r="D724" t="s">
        <v>20</v>
      </c>
      <c r="E724" t="s">
        <v>47</v>
      </c>
      <c r="G724">
        <v>140.63999999999999</v>
      </c>
      <c r="I724" t="s">
        <v>21</v>
      </c>
    </row>
    <row r="725" spans="1:9" x14ac:dyDescent="0.35">
      <c r="A725" t="s">
        <v>1466</v>
      </c>
      <c r="B725" t="s">
        <v>1467</v>
      </c>
      <c r="C725" s="1">
        <v>45456</v>
      </c>
      <c r="D725" t="s">
        <v>37</v>
      </c>
      <c r="E725" t="s">
        <v>16</v>
      </c>
      <c r="G725">
        <v>87.24</v>
      </c>
      <c r="I725" t="s">
        <v>21</v>
      </c>
    </row>
    <row r="726" spans="1:9" x14ac:dyDescent="0.35">
      <c r="A726" t="s">
        <v>1468</v>
      </c>
      <c r="B726" t="s">
        <v>1469</v>
      </c>
      <c r="C726" s="1">
        <v>45184</v>
      </c>
      <c r="D726" t="s">
        <v>34</v>
      </c>
      <c r="E726" t="s">
        <v>28</v>
      </c>
      <c r="F726">
        <v>2</v>
      </c>
      <c r="G726">
        <v>101.32</v>
      </c>
      <c r="H726">
        <v>202.64</v>
      </c>
      <c r="I726" t="s">
        <v>13</v>
      </c>
    </row>
    <row r="727" spans="1:9" x14ac:dyDescent="0.35">
      <c r="A727" t="s">
        <v>1470</v>
      </c>
      <c r="B727" t="s">
        <v>1471</v>
      </c>
      <c r="C727" s="1">
        <v>45762</v>
      </c>
      <c r="D727" t="s">
        <v>20</v>
      </c>
      <c r="E727" t="s">
        <v>28</v>
      </c>
      <c r="G727">
        <v>62.67</v>
      </c>
      <c r="I727" t="s">
        <v>38</v>
      </c>
    </row>
    <row r="728" spans="1:9" x14ac:dyDescent="0.35">
      <c r="A728" t="s">
        <v>1472</v>
      </c>
      <c r="B728" t="s">
        <v>1473</v>
      </c>
      <c r="C728" s="1">
        <v>45228</v>
      </c>
      <c r="D728" t="s">
        <v>20</v>
      </c>
      <c r="E728" t="s">
        <v>28</v>
      </c>
      <c r="F728">
        <v>8</v>
      </c>
      <c r="G728">
        <v>53.3</v>
      </c>
      <c r="H728">
        <v>426.4</v>
      </c>
      <c r="I728" t="s">
        <v>21</v>
      </c>
    </row>
    <row r="729" spans="1:9" x14ac:dyDescent="0.35">
      <c r="A729" t="s">
        <v>1474</v>
      </c>
      <c r="B729" t="s">
        <v>1475</v>
      </c>
      <c r="C729" s="1">
        <v>45256</v>
      </c>
      <c r="D729" t="s">
        <v>37</v>
      </c>
      <c r="E729" t="s">
        <v>12</v>
      </c>
      <c r="F729">
        <v>1</v>
      </c>
      <c r="G729">
        <v>68.08</v>
      </c>
      <c r="H729">
        <v>68.08</v>
      </c>
      <c r="I729" t="s">
        <v>52</v>
      </c>
    </row>
    <row r="730" spans="1:9" x14ac:dyDescent="0.35">
      <c r="A730" t="s">
        <v>1476</v>
      </c>
      <c r="B730" t="s">
        <v>1477</v>
      </c>
      <c r="C730" s="1">
        <v>45104</v>
      </c>
      <c r="D730" t="s">
        <v>34</v>
      </c>
      <c r="E730" t="s">
        <v>16</v>
      </c>
      <c r="F730">
        <v>3</v>
      </c>
      <c r="G730">
        <v>62.6</v>
      </c>
      <c r="H730">
        <v>187.8</v>
      </c>
      <c r="I730" t="s">
        <v>17</v>
      </c>
    </row>
    <row r="731" spans="1:9" x14ac:dyDescent="0.35">
      <c r="A731" t="s">
        <v>1478</v>
      </c>
      <c r="B731" t="s">
        <v>1479</v>
      </c>
      <c r="C731" s="1">
        <v>45267</v>
      </c>
      <c r="D731" t="s">
        <v>20</v>
      </c>
      <c r="E731" t="s">
        <v>47</v>
      </c>
      <c r="G731">
        <v>65.239999999999995</v>
      </c>
      <c r="I731" t="s">
        <v>52</v>
      </c>
    </row>
    <row r="732" spans="1:9" x14ac:dyDescent="0.35">
      <c r="A732" t="s">
        <v>1480</v>
      </c>
      <c r="B732" t="s">
        <v>1481</v>
      </c>
      <c r="C732" s="1">
        <v>45256</v>
      </c>
      <c r="D732" t="s">
        <v>27</v>
      </c>
      <c r="E732" t="s">
        <v>28</v>
      </c>
      <c r="G732">
        <v>172.5</v>
      </c>
      <c r="I732" t="s">
        <v>38</v>
      </c>
    </row>
    <row r="733" spans="1:9" x14ac:dyDescent="0.35">
      <c r="A733" t="s">
        <v>1482</v>
      </c>
      <c r="B733" t="s">
        <v>1483</v>
      </c>
      <c r="C733" s="1">
        <v>45217</v>
      </c>
      <c r="D733" t="s">
        <v>69</v>
      </c>
      <c r="E733" t="s">
        <v>12</v>
      </c>
      <c r="G733">
        <v>80.17</v>
      </c>
      <c r="I733" t="s">
        <v>13</v>
      </c>
    </row>
    <row r="734" spans="1:9" x14ac:dyDescent="0.35">
      <c r="A734" t="s">
        <v>1484</v>
      </c>
      <c r="B734" t="s">
        <v>1485</v>
      </c>
      <c r="C734" s="1">
        <v>45692</v>
      </c>
      <c r="D734" t="s">
        <v>11</v>
      </c>
      <c r="E734" t="s">
        <v>28</v>
      </c>
      <c r="G734">
        <v>23.31</v>
      </c>
      <c r="I734" t="s">
        <v>31</v>
      </c>
    </row>
    <row r="735" spans="1:9" x14ac:dyDescent="0.35">
      <c r="A735" t="s">
        <v>1486</v>
      </c>
      <c r="B735" t="s">
        <v>1487</v>
      </c>
      <c r="C735" s="1">
        <v>45319</v>
      </c>
      <c r="D735" t="s">
        <v>27</v>
      </c>
      <c r="E735" t="s">
        <v>12</v>
      </c>
      <c r="G735">
        <v>65.44</v>
      </c>
      <c r="I735" t="s">
        <v>13</v>
      </c>
    </row>
    <row r="736" spans="1:9" x14ac:dyDescent="0.35">
      <c r="A736" t="s">
        <v>1488</v>
      </c>
      <c r="B736" t="s">
        <v>1489</v>
      </c>
      <c r="C736" s="1">
        <v>45377</v>
      </c>
      <c r="D736" t="s">
        <v>27</v>
      </c>
      <c r="E736" t="s">
        <v>28</v>
      </c>
      <c r="G736">
        <v>60.4</v>
      </c>
      <c r="I736" t="s">
        <v>17</v>
      </c>
    </row>
    <row r="737" spans="1:9" x14ac:dyDescent="0.35">
      <c r="A737" t="s">
        <v>1490</v>
      </c>
      <c r="B737" t="s">
        <v>1491</v>
      </c>
      <c r="C737" s="1">
        <v>45431</v>
      </c>
      <c r="D737" t="s">
        <v>11</v>
      </c>
      <c r="E737" t="s">
        <v>16</v>
      </c>
      <c r="G737">
        <v>162.91</v>
      </c>
      <c r="I737" t="s">
        <v>13</v>
      </c>
    </row>
    <row r="738" spans="1:9" x14ac:dyDescent="0.35">
      <c r="A738" t="s">
        <v>1492</v>
      </c>
      <c r="B738" t="s">
        <v>1493</v>
      </c>
      <c r="C738" s="1">
        <v>45404</v>
      </c>
      <c r="D738" t="s">
        <v>69</v>
      </c>
      <c r="E738" t="s">
        <v>24</v>
      </c>
      <c r="G738">
        <v>37.090000000000003</v>
      </c>
      <c r="I738" t="s">
        <v>31</v>
      </c>
    </row>
    <row r="739" spans="1:9" x14ac:dyDescent="0.35">
      <c r="A739" t="s">
        <v>1494</v>
      </c>
      <c r="B739" t="s">
        <v>1495</v>
      </c>
      <c r="C739" s="1">
        <v>45729</v>
      </c>
      <c r="D739" t="s">
        <v>69</v>
      </c>
      <c r="E739" t="s">
        <v>47</v>
      </c>
      <c r="F739">
        <v>9</v>
      </c>
      <c r="G739">
        <v>83.46</v>
      </c>
      <c r="H739">
        <v>751.14</v>
      </c>
      <c r="I739" t="s">
        <v>31</v>
      </c>
    </row>
    <row r="740" spans="1:9" x14ac:dyDescent="0.35">
      <c r="A740" t="s">
        <v>1496</v>
      </c>
      <c r="B740" t="s">
        <v>1497</v>
      </c>
      <c r="C740" s="1">
        <v>45464</v>
      </c>
      <c r="D740" t="s">
        <v>27</v>
      </c>
      <c r="E740" t="s">
        <v>12</v>
      </c>
      <c r="G740">
        <v>41.48</v>
      </c>
      <c r="I740" t="s">
        <v>38</v>
      </c>
    </row>
    <row r="741" spans="1:9" x14ac:dyDescent="0.35">
      <c r="A741" t="s">
        <v>1498</v>
      </c>
      <c r="B741" t="s">
        <v>1499</v>
      </c>
      <c r="C741" s="1">
        <v>45466</v>
      </c>
      <c r="D741" t="s">
        <v>37</v>
      </c>
      <c r="E741" t="s">
        <v>28</v>
      </c>
      <c r="F741">
        <v>5</v>
      </c>
      <c r="G741">
        <v>157.43</v>
      </c>
      <c r="H741">
        <v>787.15</v>
      </c>
      <c r="I741" t="s">
        <v>31</v>
      </c>
    </row>
    <row r="742" spans="1:9" x14ac:dyDescent="0.35">
      <c r="A742" t="s">
        <v>1500</v>
      </c>
      <c r="B742" t="s">
        <v>1501</v>
      </c>
      <c r="C742" s="1">
        <v>45565</v>
      </c>
      <c r="D742" t="s">
        <v>27</v>
      </c>
      <c r="E742" t="s">
        <v>47</v>
      </c>
      <c r="F742">
        <v>6</v>
      </c>
      <c r="G742">
        <v>20.66</v>
      </c>
      <c r="H742">
        <v>123.96</v>
      </c>
      <c r="I742" t="s">
        <v>21</v>
      </c>
    </row>
    <row r="743" spans="1:9" x14ac:dyDescent="0.35">
      <c r="A743" t="s">
        <v>1502</v>
      </c>
      <c r="B743" t="s">
        <v>1503</v>
      </c>
      <c r="C743" s="1">
        <v>45391</v>
      </c>
      <c r="D743" t="s">
        <v>11</v>
      </c>
      <c r="E743" t="s">
        <v>16</v>
      </c>
      <c r="F743">
        <v>5</v>
      </c>
      <c r="G743">
        <v>178.1</v>
      </c>
      <c r="H743">
        <v>890.5</v>
      </c>
      <c r="I743" t="s">
        <v>13</v>
      </c>
    </row>
    <row r="744" spans="1:9" x14ac:dyDescent="0.35">
      <c r="A744" t="s">
        <v>1504</v>
      </c>
      <c r="B744" t="s">
        <v>1505</v>
      </c>
      <c r="C744" s="1">
        <v>45713</v>
      </c>
      <c r="D744" t="s">
        <v>34</v>
      </c>
      <c r="E744" t="s">
        <v>24</v>
      </c>
      <c r="F744">
        <v>6</v>
      </c>
      <c r="G744">
        <v>40.11</v>
      </c>
      <c r="H744">
        <v>240.66</v>
      </c>
      <c r="I744" t="s">
        <v>17</v>
      </c>
    </row>
    <row r="745" spans="1:9" x14ac:dyDescent="0.35">
      <c r="A745" t="s">
        <v>1506</v>
      </c>
      <c r="B745" t="s">
        <v>1507</v>
      </c>
      <c r="C745" s="1">
        <v>45701</v>
      </c>
      <c r="D745" t="s">
        <v>34</v>
      </c>
      <c r="E745" t="s">
        <v>47</v>
      </c>
      <c r="F745">
        <v>6</v>
      </c>
      <c r="G745">
        <v>154.22999999999999</v>
      </c>
      <c r="H745">
        <v>925.38</v>
      </c>
      <c r="I745" t="s">
        <v>21</v>
      </c>
    </row>
    <row r="746" spans="1:9" x14ac:dyDescent="0.35">
      <c r="A746" t="s">
        <v>1508</v>
      </c>
      <c r="B746" t="s">
        <v>1509</v>
      </c>
      <c r="C746" s="1">
        <v>45074</v>
      </c>
      <c r="D746" t="s">
        <v>27</v>
      </c>
      <c r="E746" t="s">
        <v>24</v>
      </c>
      <c r="F746">
        <v>7</v>
      </c>
      <c r="G746">
        <v>120.73</v>
      </c>
      <c r="H746">
        <v>845.11</v>
      </c>
      <c r="I746" t="s">
        <v>17</v>
      </c>
    </row>
    <row r="747" spans="1:9" x14ac:dyDescent="0.35">
      <c r="A747" t="s">
        <v>1510</v>
      </c>
      <c r="B747" t="s">
        <v>1511</v>
      </c>
      <c r="C747" s="1">
        <v>45719</v>
      </c>
      <c r="D747" t="s">
        <v>34</v>
      </c>
      <c r="E747" t="s">
        <v>24</v>
      </c>
      <c r="F747">
        <v>4</v>
      </c>
      <c r="G747">
        <v>187.56</v>
      </c>
      <c r="H747">
        <v>750.24</v>
      </c>
      <c r="I747" t="s">
        <v>52</v>
      </c>
    </row>
    <row r="748" spans="1:9" x14ac:dyDescent="0.35">
      <c r="A748" t="s">
        <v>1512</v>
      </c>
      <c r="B748" t="s">
        <v>1513</v>
      </c>
      <c r="C748" s="1">
        <v>45563</v>
      </c>
      <c r="D748" t="s">
        <v>11</v>
      </c>
      <c r="E748" t="s">
        <v>24</v>
      </c>
      <c r="G748">
        <v>107.63</v>
      </c>
      <c r="I748" t="s">
        <v>13</v>
      </c>
    </row>
    <row r="749" spans="1:9" x14ac:dyDescent="0.35">
      <c r="A749" t="s">
        <v>1514</v>
      </c>
      <c r="B749" t="s">
        <v>1515</v>
      </c>
      <c r="C749" s="1">
        <v>45150</v>
      </c>
      <c r="D749" t="s">
        <v>11</v>
      </c>
      <c r="E749" t="s">
        <v>24</v>
      </c>
      <c r="G749">
        <v>33.78</v>
      </c>
      <c r="I749" t="s">
        <v>21</v>
      </c>
    </row>
    <row r="750" spans="1:9" x14ac:dyDescent="0.35">
      <c r="A750" t="s">
        <v>1516</v>
      </c>
      <c r="B750" t="s">
        <v>1517</v>
      </c>
      <c r="C750" s="1">
        <v>45500</v>
      </c>
      <c r="D750" t="s">
        <v>69</v>
      </c>
      <c r="E750" t="s">
        <v>28</v>
      </c>
      <c r="F750">
        <v>9</v>
      </c>
      <c r="G750">
        <v>199.86</v>
      </c>
      <c r="H750">
        <v>1798.74</v>
      </c>
      <c r="I750" t="s">
        <v>38</v>
      </c>
    </row>
    <row r="751" spans="1:9" x14ac:dyDescent="0.35">
      <c r="A751" t="s">
        <v>1518</v>
      </c>
      <c r="B751" t="s">
        <v>1519</v>
      </c>
      <c r="C751" s="1">
        <v>45050</v>
      </c>
      <c r="D751" t="s">
        <v>11</v>
      </c>
      <c r="E751" t="s">
        <v>24</v>
      </c>
      <c r="F751">
        <v>7</v>
      </c>
      <c r="G751">
        <v>77.489999999999995</v>
      </c>
      <c r="H751">
        <v>542.42999999999995</v>
      </c>
      <c r="I751" t="s">
        <v>31</v>
      </c>
    </row>
    <row r="752" spans="1:9" x14ac:dyDescent="0.35">
      <c r="A752" t="s">
        <v>1520</v>
      </c>
      <c r="B752" t="s">
        <v>1521</v>
      </c>
      <c r="C752" s="1">
        <v>45461</v>
      </c>
      <c r="D752" t="s">
        <v>69</v>
      </c>
      <c r="E752" t="s">
        <v>12</v>
      </c>
      <c r="G752">
        <v>61.38</v>
      </c>
      <c r="I752" t="s">
        <v>21</v>
      </c>
    </row>
    <row r="753" spans="1:9" x14ac:dyDescent="0.35">
      <c r="A753" t="s">
        <v>1522</v>
      </c>
      <c r="B753" t="s">
        <v>1523</v>
      </c>
      <c r="C753" s="1">
        <v>45366</v>
      </c>
      <c r="D753" t="s">
        <v>27</v>
      </c>
      <c r="E753" t="s">
        <v>28</v>
      </c>
      <c r="G753">
        <v>197.87</v>
      </c>
      <c r="I753" t="s">
        <v>38</v>
      </c>
    </row>
    <row r="754" spans="1:9" x14ac:dyDescent="0.35">
      <c r="A754" t="s">
        <v>1524</v>
      </c>
      <c r="B754" t="s">
        <v>1525</v>
      </c>
      <c r="C754" s="1">
        <v>45645</v>
      </c>
      <c r="D754" t="s">
        <v>34</v>
      </c>
      <c r="E754" t="s">
        <v>28</v>
      </c>
      <c r="F754">
        <v>8</v>
      </c>
      <c r="G754">
        <v>141.94999999999999</v>
      </c>
      <c r="H754">
        <v>1135.5999999999999</v>
      </c>
      <c r="I754" t="s">
        <v>31</v>
      </c>
    </row>
    <row r="755" spans="1:9" x14ac:dyDescent="0.35">
      <c r="A755" t="s">
        <v>1526</v>
      </c>
      <c r="B755" t="s">
        <v>1527</v>
      </c>
      <c r="C755" s="1">
        <v>45605</v>
      </c>
      <c r="D755" t="s">
        <v>37</v>
      </c>
      <c r="E755" t="s">
        <v>24</v>
      </c>
      <c r="G755">
        <v>71.78</v>
      </c>
      <c r="I755" t="s">
        <v>17</v>
      </c>
    </row>
    <row r="756" spans="1:9" x14ac:dyDescent="0.35">
      <c r="A756" t="s">
        <v>1528</v>
      </c>
      <c r="B756" t="s">
        <v>1529</v>
      </c>
      <c r="C756" s="1">
        <v>45332</v>
      </c>
      <c r="D756" t="s">
        <v>37</v>
      </c>
      <c r="E756" t="s">
        <v>16</v>
      </c>
      <c r="G756">
        <v>73.489999999999995</v>
      </c>
      <c r="I756" t="s">
        <v>52</v>
      </c>
    </row>
    <row r="757" spans="1:9" x14ac:dyDescent="0.35">
      <c r="A757" t="s">
        <v>1530</v>
      </c>
      <c r="B757" t="s">
        <v>1531</v>
      </c>
      <c r="C757" s="1">
        <v>45539</v>
      </c>
      <c r="D757" t="s">
        <v>27</v>
      </c>
      <c r="E757" t="s">
        <v>28</v>
      </c>
      <c r="F757">
        <v>8</v>
      </c>
      <c r="G757">
        <v>129.44</v>
      </c>
      <c r="H757">
        <v>1035.52</v>
      </c>
      <c r="I757" t="s">
        <v>38</v>
      </c>
    </row>
    <row r="758" spans="1:9" x14ac:dyDescent="0.35">
      <c r="A758" t="s">
        <v>1532</v>
      </c>
      <c r="B758" t="s">
        <v>1533</v>
      </c>
      <c r="C758" s="1">
        <v>45639</v>
      </c>
      <c r="D758" t="s">
        <v>27</v>
      </c>
      <c r="E758" t="s">
        <v>47</v>
      </c>
      <c r="G758">
        <v>175.55</v>
      </c>
      <c r="I758" t="s">
        <v>38</v>
      </c>
    </row>
    <row r="759" spans="1:9" x14ac:dyDescent="0.35">
      <c r="A759" t="s">
        <v>1534</v>
      </c>
      <c r="B759" t="s">
        <v>1535</v>
      </c>
      <c r="C759" s="1">
        <v>45109</v>
      </c>
      <c r="D759" t="s">
        <v>34</v>
      </c>
      <c r="E759" t="s">
        <v>28</v>
      </c>
      <c r="G759">
        <v>194.62</v>
      </c>
      <c r="I759" t="s">
        <v>21</v>
      </c>
    </row>
    <row r="760" spans="1:9" x14ac:dyDescent="0.35">
      <c r="A760" t="s">
        <v>1536</v>
      </c>
      <c r="B760" t="s">
        <v>1537</v>
      </c>
      <c r="C760" s="1">
        <v>45406</v>
      </c>
      <c r="D760" t="s">
        <v>11</v>
      </c>
      <c r="E760" t="s">
        <v>28</v>
      </c>
      <c r="F760">
        <v>4</v>
      </c>
      <c r="G760">
        <v>44</v>
      </c>
      <c r="H760">
        <v>176</v>
      </c>
      <c r="I760" t="s">
        <v>52</v>
      </c>
    </row>
    <row r="761" spans="1:9" x14ac:dyDescent="0.35">
      <c r="A761" t="s">
        <v>1538</v>
      </c>
      <c r="B761" t="s">
        <v>1539</v>
      </c>
      <c r="C761" s="1">
        <v>45332</v>
      </c>
      <c r="D761" t="s">
        <v>34</v>
      </c>
      <c r="E761" t="s">
        <v>12</v>
      </c>
      <c r="F761">
        <v>4</v>
      </c>
      <c r="G761">
        <v>126.17</v>
      </c>
      <c r="H761">
        <v>504.68</v>
      </c>
      <c r="I761" t="s">
        <v>52</v>
      </c>
    </row>
    <row r="762" spans="1:9" x14ac:dyDescent="0.35">
      <c r="A762" t="s">
        <v>1540</v>
      </c>
      <c r="B762" t="s">
        <v>1541</v>
      </c>
      <c r="C762" s="1">
        <v>45479</v>
      </c>
      <c r="D762" t="s">
        <v>20</v>
      </c>
      <c r="E762" t="s">
        <v>16</v>
      </c>
      <c r="G762">
        <v>99.74</v>
      </c>
      <c r="I762" t="s">
        <v>17</v>
      </c>
    </row>
    <row r="763" spans="1:9" x14ac:dyDescent="0.35">
      <c r="A763" t="s">
        <v>1542</v>
      </c>
      <c r="B763" t="s">
        <v>1543</v>
      </c>
      <c r="C763" s="1">
        <v>45260</v>
      </c>
      <c r="D763" t="s">
        <v>27</v>
      </c>
      <c r="E763" t="s">
        <v>12</v>
      </c>
      <c r="F763">
        <v>6</v>
      </c>
      <c r="G763">
        <v>146.94999999999999</v>
      </c>
      <c r="H763">
        <v>881.7</v>
      </c>
      <c r="I763" t="s">
        <v>21</v>
      </c>
    </row>
    <row r="764" spans="1:9" x14ac:dyDescent="0.35">
      <c r="A764" t="s">
        <v>1544</v>
      </c>
      <c r="B764" t="s">
        <v>1545</v>
      </c>
      <c r="C764" s="1">
        <v>45070</v>
      </c>
      <c r="D764" t="s">
        <v>37</v>
      </c>
      <c r="E764" t="s">
        <v>12</v>
      </c>
      <c r="G764">
        <v>16.170000000000002</v>
      </c>
      <c r="I764" t="s">
        <v>52</v>
      </c>
    </row>
    <row r="765" spans="1:9" x14ac:dyDescent="0.35">
      <c r="A765" t="s">
        <v>1546</v>
      </c>
      <c r="B765" t="s">
        <v>1547</v>
      </c>
      <c r="C765" s="1">
        <v>45501</v>
      </c>
      <c r="D765" t="s">
        <v>37</v>
      </c>
      <c r="E765" t="s">
        <v>24</v>
      </c>
      <c r="G765">
        <v>121.66</v>
      </c>
      <c r="I765" t="s">
        <v>17</v>
      </c>
    </row>
    <row r="766" spans="1:9" x14ac:dyDescent="0.35">
      <c r="A766" t="s">
        <v>1548</v>
      </c>
      <c r="B766" t="s">
        <v>1549</v>
      </c>
      <c r="C766" s="1">
        <v>45235</v>
      </c>
      <c r="D766" t="s">
        <v>34</v>
      </c>
      <c r="E766" t="s">
        <v>28</v>
      </c>
      <c r="G766">
        <v>41.4</v>
      </c>
      <c r="I766" t="s">
        <v>52</v>
      </c>
    </row>
    <row r="767" spans="1:9" x14ac:dyDescent="0.35">
      <c r="A767" t="s">
        <v>1550</v>
      </c>
      <c r="B767" t="s">
        <v>1551</v>
      </c>
      <c r="C767" s="1">
        <v>45144</v>
      </c>
      <c r="D767" t="s">
        <v>11</v>
      </c>
      <c r="E767" t="s">
        <v>47</v>
      </c>
      <c r="G767">
        <v>69.319999999999993</v>
      </c>
      <c r="I767" t="s">
        <v>17</v>
      </c>
    </row>
    <row r="768" spans="1:9" x14ac:dyDescent="0.35">
      <c r="A768" t="s">
        <v>1552</v>
      </c>
      <c r="B768" t="s">
        <v>1553</v>
      </c>
      <c r="C768" s="1">
        <v>45220</v>
      </c>
      <c r="D768" t="s">
        <v>34</v>
      </c>
      <c r="E768" t="s">
        <v>28</v>
      </c>
      <c r="F768">
        <v>9</v>
      </c>
      <c r="G768">
        <v>61.72</v>
      </c>
      <c r="H768">
        <v>555.48</v>
      </c>
      <c r="I768" t="s">
        <v>17</v>
      </c>
    </row>
    <row r="769" spans="1:9" x14ac:dyDescent="0.35">
      <c r="A769" t="s">
        <v>1554</v>
      </c>
      <c r="B769" t="s">
        <v>1555</v>
      </c>
      <c r="C769" s="1">
        <v>45387</v>
      </c>
      <c r="D769" t="s">
        <v>37</v>
      </c>
      <c r="E769" t="s">
        <v>47</v>
      </c>
      <c r="G769">
        <v>16.670000000000002</v>
      </c>
      <c r="I769" t="s">
        <v>13</v>
      </c>
    </row>
    <row r="770" spans="1:9" x14ac:dyDescent="0.35">
      <c r="A770" t="s">
        <v>1556</v>
      </c>
      <c r="B770" t="s">
        <v>1557</v>
      </c>
      <c r="C770" s="1">
        <v>45668</v>
      </c>
      <c r="D770" t="s">
        <v>69</v>
      </c>
      <c r="E770" t="s">
        <v>28</v>
      </c>
      <c r="F770">
        <v>8</v>
      </c>
      <c r="G770">
        <v>158.11000000000001</v>
      </c>
      <c r="H770">
        <v>1264.8800000000001</v>
      </c>
      <c r="I770" t="s">
        <v>21</v>
      </c>
    </row>
    <row r="771" spans="1:9" x14ac:dyDescent="0.35">
      <c r="A771" t="s">
        <v>1558</v>
      </c>
      <c r="B771" t="s">
        <v>1559</v>
      </c>
      <c r="C771" s="1">
        <v>45061</v>
      </c>
      <c r="D771" t="s">
        <v>27</v>
      </c>
      <c r="E771" t="s">
        <v>16</v>
      </c>
      <c r="G771">
        <v>185.31</v>
      </c>
      <c r="I771" t="s">
        <v>31</v>
      </c>
    </row>
    <row r="772" spans="1:9" x14ac:dyDescent="0.35">
      <c r="A772" t="s">
        <v>1560</v>
      </c>
      <c r="B772" t="s">
        <v>1561</v>
      </c>
      <c r="C772" s="1">
        <v>45600</v>
      </c>
      <c r="D772" t="s">
        <v>11</v>
      </c>
      <c r="E772" t="s">
        <v>24</v>
      </c>
      <c r="G772">
        <v>98.81</v>
      </c>
      <c r="I772" t="s">
        <v>13</v>
      </c>
    </row>
    <row r="773" spans="1:9" x14ac:dyDescent="0.35">
      <c r="A773" t="s">
        <v>1562</v>
      </c>
      <c r="B773" t="s">
        <v>1563</v>
      </c>
      <c r="C773" s="1">
        <v>45415</v>
      </c>
      <c r="D773" t="s">
        <v>20</v>
      </c>
      <c r="E773" t="s">
        <v>47</v>
      </c>
      <c r="F773">
        <v>6</v>
      </c>
      <c r="G773">
        <v>48.71</v>
      </c>
      <c r="H773">
        <v>292.26</v>
      </c>
      <c r="I773" t="s">
        <v>21</v>
      </c>
    </row>
    <row r="774" spans="1:9" x14ac:dyDescent="0.35">
      <c r="A774" t="s">
        <v>1564</v>
      </c>
      <c r="B774" t="s">
        <v>1565</v>
      </c>
      <c r="C774" s="1">
        <v>45247</v>
      </c>
      <c r="D774" t="s">
        <v>34</v>
      </c>
      <c r="E774" t="s">
        <v>24</v>
      </c>
      <c r="G774">
        <v>29.76</v>
      </c>
      <c r="I774" t="s">
        <v>52</v>
      </c>
    </row>
    <row r="775" spans="1:9" x14ac:dyDescent="0.35">
      <c r="A775" t="s">
        <v>1566</v>
      </c>
      <c r="B775" t="s">
        <v>1567</v>
      </c>
      <c r="C775" s="1">
        <v>45090</v>
      </c>
      <c r="D775" t="s">
        <v>20</v>
      </c>
      <c r="E775" t="s">
        <v>24</v>
      </c>
      <c r="F775">
        <v>4</v>
      </c>
      <c r="G775">
        <v>106.51</v>
      </c>
      <c r="H775">
        <v>426.04</v>
      </c>
      <c r="I775" t="s">
        <v>38</v>
      </c>
    </row>
    <row r="776" spans="1:9" x14ac:dyDescent="0.35">
      <c r="A776" t="s">
        <v>1568</v>
      </c>
      <c r="B776" t="s">
        <v>1569</v>
      </c>
      <c r="C776" s="1">
        <v>45589</v>
      </c>
      <c r="D776" t="s">
        <v>69</v>
      </c>
      <c r="E776" t="s">
        <v>16</v>
      </c>
      <c r="G776">
        <v>187.93</v>
      </c>
      <c r="I776" t="s">
        <v>31</v>
      </c>
    </row>
    <row r="777" spans="1:9" x14ac:dyDescent="0.35">
      <c r="A777" t="s">
        <v>1570</v>
      </c>
      <c r="B777" t="s">
        <v>1571</v>
      </c>
      <c r="C777" s="1">
        <v>45406</v>
      </c>
      <c r="D777" t="s">
        <v>11</v>
      </c>
      <c r="E777" t="s">
        <v>16</v>
      </c>
      <c r="G777">
        <v>125.38</v>
      </c>
      <c r="I777" t="s">
        <v>38</v>
      </c>
    </row>
    <row r="778" spans="1:9" x14ac:dyDescent="0.35">
      <c r="A778" t="s">
        <v>1572</v>
      </c>
      <c r="B778" t="s">
        <v>1573</v>
      </c>
      <c r="C778" s="1">
        <v>45691</v>
      </c>
      <c r="D778" t="s">
        <v>34</v>
      </c>
      <c r="E778" t="s">
        <v>47</v>
      </c>
      <c r="G778">
        <v>126.59</v>
      </c>
      <c r="I778" t="s">
        <v>13</v>
      </c>
    </row>
    <row r="779" spans="1:9" x14ac:dyDescent="0.35">
      <c r="A779" t="s">
        <v>1574</v>
      </c>
      <c r="B779" t="s">
        <v>1575</v>
      </c>
      <c r="C779" s="1">
        <v>45221</v>
      </c>
      <c r="D779" t="s">
        <v>69</v>
      </c>
      <c r="E779" t="s">
        <v>12</v>
      </c>
      <c r="F779">
        <v>4</v>
      </c>
      <c r="G779">
        <v>163.51</v>
      </c>
      <c r="H779">
        <v>654.04</v>
      </c>
      <c r="I779" t="s">
        <v>31</v>
      </c>
    </row>
    <row r="780" spans="1:9" x14ac:dyDescent="0.35">
      <c r="A780" t="s">
        <v>1576</v>
      </c>
      <c r="B780" t="s">
        <v>1577</v>
      </c>
      <c r="C780" s="1">
        <v>45217</v>
      </c>
      <c r="D780" t="s">
        <v>20</v>
      </c>
      <c r="E780" t="s">
        <v>16</v>
      </c>
      <c r="G780">
        <v>187.87</v>
      </c>
      <c r="I780" t="s">
        <v>31</v>
      </c>
    </row>
    <row r="781" spans="1:9" x14ac:dyDescent="0.35">
      <c r="A781" t="s">
        <v>1578</v>
      </c>
      <c r="B781" t="s">
        <v>1579</v>
      </c>
      <c r="C781" s="1">
        <v>45562</v>
      </c>
      <c r="D781" t="s">
        <v>37</v>
      </c>
      <c r="E781" t="s">
        <v>47</v>
      </c>
      <c r="G781">
        <v>74.260000000000005</v>
      </c>
      <c r="I781" t="s">
        <v>38</v>
      </c>
    </row>
    <row r="782" spans="1:9" x14ac:dyDescent="0.35">
      <c r="A782" t="s">
        <v>1580</v>
      </c>
      <c r="B782" t="s">
        <v>1581</v>
      </c>
      <c r="C782" s="1">
        <v>45236</v>
      </c>
      <c r="D782" t="s">
        <v>34</v>
      </c>
      <c r="E782" t="s">
        <v>24</v>
      </c>
      <c r="G782">
        <v>26.22</v>
      </c>
      <c r="I782" t="s">
        <v>21</v>
      </c>
    </row>
    <row r="783" spans="1:9" x14ac:dyDescent="0.35">
      <c r="A783" t="s">
        <v>1582</v>
      </c>
      <c r="B783" t="s">
        <v>1583</v>
      </c>
      <c r="C783" s="1">
        <v>45519</v>
      </c>
      <c r="D783" t="s">
        <v>11</v>
      </c>
      <c r="E783" t="s">
        <v>24</v>
      </c>
      <c r="F783">
        <v>5</v>
      </c>
      <c r="G783">
        <v>43.87</v>
      </c>
      <c r="H783">
        <v>219.35</v>
      </c>
      <c r="I783" t="s">
        <v>38</v>
      </c>
    </row>
    <row r="784" spans="1:9" x14ac:dyDescent="0.35">
      <c r="A784" t="s">
        <v>1584</v>
      </c>
      <c r="B784" t="s">
        <v>1585</v>
      </c>
      <c r="C784" s="1">
        <v>45741</v>
      </c>
      <c r="D784" t="s">
        <v>20</v>
      </c>
      <c r="E784" t="s">
        <v>28</v>
      </c>
      <c r="G784">
        <v>136.94999999999999</v>
      </c>
      <c r="I784" t="s">
        <v>52</v>
      </c>
    </row>
    <row r="785" spans="1:9" x14ac:dyDescent="0.35">
      <c r="A785" t="s">
        <v>1586</v>
      </c>
      <c r="B785" t="s">
        <v>1587</v>
      </c>
      <c r="C785" s="1">
        <v>45453</v>
      </c>
      <c r="D785" t="s">
        <v>69</v>
      </c>
      <c r="E785" t="s">
        <v>24</v>
      </c>
      <c r="F785">
        <v>3</v>
      </c>
      <c r="G785">
        <v>18.95</v>
      </c>
      <c r="H785">
        <v>56.85</v>
      </c>
      <c r="I785" t="s">
        <v>52</v>
      </c>
    </row>
    <row r="786" spans="1:9" x14ac:dyDescent="0.35">
      <c r="A786" t="s">
        <v>1588</v>
      </c>
      <c r="B786" t="s">
        <v>1589</v>
      </c>
      <c r="C786" s="1">
        <v>45516</v>
      </c>
      <c r="D786" t="s">
        <v>69</v>
      </c>
      <c r="E786" t="s">
        <v>47</v>
      </c>
      <c r="G786">
        <v>121.96</v>
      </c>
      <c r="I786" t="s">
        <v>38</v>
      </c>
    </row>
    <row r="787" spans="1:9" x14ac:dyDescent="0.35">
      <c r="A787" t="s">
        <v>1590</v>
      </c>
      <c r="B787" t="s">
        <v>1591</v>
      </c>
      <c r="C787" s="1">
        <v>45198</v>
      </c>
      <c r="D787" t="s">
        <v>34</v>
      </c>
      <c r="E787" t="s">
        <v>28</v>
      </c>
      <c r="G787">
        <v>31.2</v>
      </c>
      <c r="I787" t="s">
        <v>17</v>
      </c>
    </row>
    <row r="788" spans="1:9" x14ac:dyDescent="0.35">
      <c r="A788" t="s">
        <v>1592</v>
      </c>
      <c r="B788" t="s">
        <v>1593</v>
      </c>
      <c r="C788" s="1">
        <v>45428</v>
      </c>
      <c r="D788" t="s">
        <v>34</v>
      </c>
      <c r="E788" t="s">
        <v>12</v>
      </c>
      <c r="F788">
        <v>2</v>
      </c>
      <c r="G788">
        <v>170.53</v>
      </c>
      <c r="H788">
        <v>341.06</v>
      </c>
      <c r="I788" t="s">
        <v>31</v>
      </c>
    </row>
    <row r="789" spans="1:9" x14ac:dyDescent="0.35">
      <c r="A789" t="s">
        <v>1594</v>
      </c>
      <c r="B789" t="s">
        <v>1595</v>
      </c>
      <c r="C789" s="1">
        <v>45315</v>
      </c>
      <c r="D789" t="s">
        <v>27</v>
      </c>
      <c r="E789" t="s">
        <v>24</v>
      </c>
      <c r="G789">
        <v>65.510000000000005</v>
      </c>
      <c r="I789" t="s">
        <v>31</v>
      </c>
    </row>
    <row r="790" spans="1:9" x14ac:dyDescent="0.35">
      <c r="A790" t="s">
        <v>1596</v>
      </c>
      <c r="B790" t="s">
        <v>1597</v>
      </c>
      <c r="C790" s="1">
        <v>45278</v>
      </c>
      <c r="D790" t="s">
        <v>27</v>
      </c>
      <c r="E790" t="s">
        <v>47</v>
      </c>
      <c r="F790">
        <v>5</v>
      </c>
      <c r="G790">
        <v>83.46</v>
      </c>
      <c r="H790">
        <v>417.3</v>
      </c>
      <c r="I790" t="s">
        <v>31</v>
      </c>
    </row>
    <row r="791" spans="1:9" x14ac:dyDescent="0.35">
      <c r="A791" t="s">
        <v>1598</v>
      </c>
      <c r="B791" t="s">
        <v>1599</v>
      </c>
      <c r="C791" s="1">
        <v>45601</v>
      </c>
      <c r="D791" t="s">
        <v>37</v>
      </c>
      <c r="E791" t="s">
        <v>12</v>
      </c>
      <c r="F791">
        <v>7</v>
      </c>
      <c r="G791">
        <v>136.26</v>
      </c>
      <c r="H791">
        <v>953.82</v>
      </c>
      <c r="I791" t="s">
        <v>52</v>
      </c>
    </row>
    <row r="792" spans="1:9" x14ac:dyDescent="0.35">
      <c r="A792" t="s">
        <v>1600</v>
      </c>
      <c r="B792" t="s">
        <v>1601</v>
      </c>
      <c r="C792" s="1">
        <v>45123</v>
      </c>
      <c r="D792" t="s">
        <v>27</v>
      </c>
      <c r="E792" t="s">
        <v>12</v>
      </c>
      <c r="G792">
        <v>164.24</v>
      </c>
      <c r="I792" t="s">
        <v>13</v>
      </c>
    </row>
    <row r="793" spans="1:9" x14ac:dyDescent="0.35">
      <c r="A793" t="s">
        <v>1602</v>
      </c>
      <c r="B793" t="s">
        <v>1603</v>
      </c>
      <c r="C793" s="1">
        <v>45775</v>
      </c>
      <c r="D793" t="s">
        <v>34</v>
      </c>
      <c r="E793" t="s">
        <v>28</v>
      </c>
      <c r="G793">
        <v>38.85</v>
      </c>
      <c r="I793" t="s">
        <v>17</v>
      </c>
    </row>
    <row r="794" spans="1:9" x14ac:dyDescent="0.35">
      <c r="A794" t="s">
        <v>1604</v>
      </c>
      <c r="B794" t="s">
        <v>1605</v>
      </c>
      <c r="C794" s="1">
        <v>45613</v>
      </c>
      <c r="D794" t="s">
        <v>34</v>
      </c>
      <c r="E794" t="s">
        <v>24</v>
      </c>
      <c r="G794">
        <v>112.31</v>
      </c>
      <c r="I794" t="s">
        <v>52</v>
      </c>
    </row>
    <row r="795" spans="1:9" x14ac:dyDescent="0.35">
      <c r="A795" t="s">
        <v>1606</v>
      </c>
      <c r="B795" t="s">
        <v>1607</v>
      </c>
      <c r="C795" s="1">
        <v>45254</v>
      </c>
      <c r="D795" t="s">
        <v>69</v>
      </c>
      <c r="E795" t="s">
        <v>24</v>
      </c>
      <c r="F795">
        <v>4</v>
      </c>
      <c r="G795">
        <v>180.23</v>
      </c>
      <c r="I795" t="s">
        <v>38</v>
      </c>
    </row>
    <row r="796" spans="1:9" x14ac:dyDescent="0.35">
      <c r="A796" t="s">
        <v>1608</v>
      </c>
      <c r="B796" t="s">
        <v>1609</v>
      </c>
      <c r="C796" s="1">
        <v>45676</v>
      </c>
      <c r="D796" t="s">
        <v>37</v>
      </c>
      <c r="E796" t="s">
        <v>28</v>
      </c>
      <c r="F796">
        <v>1</v>
      </c>
      <c r="G796">
        <v>67.81</v>
      </c>
      <c r="H796">
        <v>67.81</v>
      </c>
      <c r="I796" t="s">
        <v>17</v>
      </c>
    </row>
    <row r="797" spans="1:9" x14ac:dyDescent="0.35">
      <c r="A797" t="s">
        <v>1610</v>
      </c>
      <c r="B797" t="s">
        <v>1611</v>
      </c>
      <c r="C797" s="1">
        <v>45429</v>
      </c>
      <c r="D797" t="s">
        <v>11</v>
      </c>
      <c r="E797" t="s">
        <v>24</v>
      </c>
      <c r="G797">
        <v>44.94</v>
      </c>
      <c r="I797" t="s">
        <v>31</v>
      </c>
    </row>
    <row r="798" spans="1:9" x14ac:dyDescent="0.35">
      <c r="A798" t="s">
        <v>1612</v>
      </c>
      <c r="B798" t="s">
        <v>1613</v>
      </c>
      <c r="C798" s="1">
        <v>45095</v>
      </c>
      <c r="D798" t="s">
        <v>69</v>
      </c>
      <c r="E798" t="s">
        <v>16</v>
      </c>
      <c r="G798">
        <v>24.6</v>
      </c>
      <c r="I798" t="s">
        <v>31</v>
      </c>
    </row>
    <row r="799" spans="1:9" x14ac:dyDescent="0.35">
      <c r="A799" t="s">
        <v>1614</v>
      </c>
      <c r="B799" t="s">
        <v>1615</v>
      </c>
      <c r="C799" s="1">
        <v>45076</v>
      </c>
      <c r="D799" t="s">
        <v>34</v>
      </c>
      <c r="E799" t="s">
        <v>28</v>
      </c>
      <c r="F799">
        <v>1</v>
      </c>
      <c r="G799">
        <v>118.76</v>
      </c>
      <c r="H799">
        <v>118.76</v>
      </c>
      <c r="I799" t="s">
        <v>17</v>
      </c>
    </row>
    <row r="800" spans="1:9" x14ac:dyDescent="0.35">
      <c r="A800" t="s">
        <v>1616</v>
      </c>
      <c r="B800" t="s">
        <v>1617</v>
      </c>
      <c r="C800" s="1">
        <v>45108</v>
      </c>
      <c r="D800" t="s">
        <v>11</v>
      </c>
      <c r="E800" t="s">
        <v>12</v>
      </c>
      <c r="F800">
        <v>9</v>
      </c>
      <c r="G800">
        <v>25.96</v>
      </c>
      <c r="H800">
        <v>233.64</v>
      </c>
      <c r="I800" t="s">
        <v>21</v>
      </c>
    </row>
    <row r="801" spans="1:9" x14ac:dyDescent="0.35">
      <c r="A801" t="s">
        <v>1618</v>
      </c>
      <c r="B801" t="s">
        <v>1619</v>
      </c>
      <c r="C801" s="1">
        <v>45431</v>
      </c>
      <c r="D801" t="s">
        <v>37</v>
      </c>
      <c r="E801" t="s">
        <v>28</v>
      </c>
      <c r="F801">
        <v>8</v>
      </c>
      <c r="G801">
        <v>172.92</v>
      </c>
      <c r="H801">
        <v>1383.36</v>
      </c>
      <c r="I801" t="s">
        <v>13</v>
      </c>
    </row>
    <row r="802" spans="1:9" x14ac:dyDescent="0.35">
      <c r="A802" t="s">
        <v>1620</v>
      </c>
      <c r="B802" t="s">
        <v>1621</v>
      </c>
      <c r="C802" s="1">
        <v>45556</v>
      </c>
      <c r="D802" t="s">
        <v>37</v>
      </c>
      <c r="E802" t="s">
        <v>47</v>
      </c>
      <c r="G802">
        <v>128.53</v>
      </c>
      <c r="I802" t="s">
        <v>38</v>
      </c>
    </row>
    <row r="803" spans="1:9" x14ac:dyDescent="0.35">
      <c r="A803" t="s">
        <v>1622</v>
      </c>
      <c r="B803" t="s">
        <v>1623</v>
      </c>
      <c r="C803" s="1">
        <v>45426</v>
      </c>
      <c r="D803" t="s">
        <v>69</v>
      </c>
      <c r="E803" t="s">
        <v>16</v>
      </c>
      <c r="G803">
        <v>126.95</v>
      </c>
      <c r="I803" t="s">
        <v>38</v>
      </c>
    </row>
    <row r="804" spans="1:9" x14ac:dyDescent="0.35">
      <c r="A804" t="s">
        <v>1624</v>
      </c>
      <c r="B804" t="s">
        <v>1625</v>
      </c>
      <c r="C804" s="1">
        <v>45744</v>
      </c>
      <c r="D804" t="s">
        <v>20</v>
      </c>
      <c r="E804" t="s">
        <v>47</v>
      </c>
      <c r="G804">
        <v>185.6</v>
      </c>
      <c r="I804" t="s">
        <v>31</v>
      </c>
    </row>
    <row r="805" spans="1:9" x14ac:dyDescent="0.35">
      <c r="A805" t="s">
        <v>1626</v>
      </c>
      <c r="B805" t="s">
        <v>1627</v>
      </c>
      <c r="C805" s="1">
        <v>45631</v>
      </c>
      <c r="D805" t="s">
        <v>37</v>
      </c>
      <c r="E805" t="s">
        <v>24</v>
      </c>
      <c r="G805">
        <v>120.65</v>
      </c>
      <c r="I805" t="s">
        <v>17</v>
      </c>
    </row>
    <row r="806" spans="1:9" x14ac:dyDescent="0.35">
      <c r="A806" t="s">
        <v>1628</v>
      </c>
      <c r="B806" t="s">
        <v>1629</v>
      </c>
      <c r="C806" s="1">
        <v>45476</v>
      </c>
      <c r="D806" t="s">
        <v>69</v>
      </c>
      <c r="E806" t="s">
        <v>24</v>
      </c>
      <c r="G806">
        <v>117.27</v>
      </c>
      <c r="I806" t="s">
        <v>31</v>
      </c>
    </row>
    <row r="807" spans="1:9" x14ac:dyDescent="0.35">
      <c r="A807" t="s">
        <v>1630</v>
      </c>
      <c r="B807" t="s">
        <v>1631</v>
      </c>
      <c r="C807" s="1">
        <v>45386</v>
      </c>
      <c r="D807" t="s">
        <v>69</v>
      </c>
      <c r="E807" t="s">
        <v>16</v>
      </c>
      <c r="G807">
        <v>183.51</v>
      </c>
      <c r="I807" t="s">
        <v>38</v>
      </c>
    </row>
    <row r="808" spans="1:9" x14ac:dyDescent="0.35">
      <c r="A808" t="s">
        <v>1632</v>
      </c>
      <c r="B808" t="s">
        <v>1633</v>
      </c>
      <c r="C808" s="1">
        <v>45080</v>
      </c>
      <c r="D808" t="s">
        <v>20</v>
      </c>
      <c r="E808" t="s">
        <v>16</v>
      </c>
      <c r="F808">
        <v>5</v>
      </c>
      <c r="G808">
        <v>162.04</v>
      </c>
      <c r="H808">
        <v>810.2</v>
      </c>
      <c r="I808" t="s">
        <v>38</v>
      </c>
    </row>
    <row r="809" spans="1:9" x14ac:dyDescent="0.35">
      <c r="A809" t="s">
        <v>1634</v>
      </c>
      <c r="B809" t="s">
        <v>1635</v>
      </c>
      <c r="C809" s="1">
        <v>45524</v>
      </c>
      <c r="D809" t="s">
        <v>69</v>
      </c>
      <c r="E809" t="s">
        <v>16</v>
      </c>
      <c r="G809">
        <v>125.25</v>
      </c>
      <c r="I809" t="s">
        <v>21</v>
      </c>
    </row>
    <row r="810" spans="1:9" x14ac:dyDescent="0.35">
      <c r="A810" t="s">
        <v>1636</v>
      </c>
      <c r="B810" t="s">
        <v>1637</v>
      </c>
      <c r="C810" s="1">
        <v>45477</v>
      </c>
      <c r="D810" t="s">
        <v>27</v>
      </c>
      <c r="E810" t="s">
        <v>16</v>
      </c>
      <c r="F810">
        <v>9</v>
      </c>
      <c r="G810">
        <v>67.680000000000007</v>
      </c>
      <c r="H810">
        <v>609.12</v>
      </c>
      <c r="I810" t="s">
        <v>52</v>
      </c>
    </row>
    <row r="811" spans="1:9" x14ac:dyDescent="0.35">
      <c r="A811" t="s">
        <v>1638</v>
      </c>
      <c r="B811" t="s">
        <v>1639</v>
      </c>
      <c r="C811" s="1">
        <v>45202</v>
      </c>
      <c r="D811" t="s">
        <v>34</v>
      </c>
      <c r="E811" t="s">
        <v>16</v>
      </c>
      <c r="F811">
        <v>2</v>
      </c>
      <c r="G811">
        <v>179.09</v>
      </c>
      <c r="H811">
        <v>358.18</v>
      </c>
      <c r="I811" t="s">
        <v>13</v>
      </c>
    </row>
    <row r="812" spans="1:9" x14ac:dyDescent="0.35">
      <c r="A812" t="s">
        <v>1640</v>
      </c>
      <c r="B812" t="s">
        <v>1641</v>
      </c>
      <c r="C812" s="1">
        <v>45650</v>
      </c>
      <c r="D812" t="s">
        <v>27</v>
      </c>
      <c r="E812" t="s">
        <v>24</v>
      </c>
      <c r="G812">
        <v>149.38</v>
      </c>
      <c r="I812" t="s">
        <v>52</v>
      </c>
    </row>
    <row r="813" spans="1:9" x14ac:dyDescent="0.35">
      <c r="A813" t="s">
        <v>1642</v>
      </c>
      <c r="B813" t="s">
        <v>1643</v>
      </c>
      <c r="C813" s="1">
        <v>45339</v>
      </c>
      <c r="D813" t="s">
        <v>11</v>
      </c>
      <c r="E813" t="s">
        <v>47</v>
      </c>
      <c r="F813">
        <v>3</v>
      </c>
      <c r="G813">
        <v>29.61</v>
      </c>
      <c r="H813">
        <v>88.83</v>
      </c>
      <c r="I813" t="s">
        <v>13</v>
      </c>
    </row>
    <row r="814" spans="1:9" x14ac:dyDescent="0.35">
      <c r="A814" t="s">
        <v>1644</v>
      </c>
      <c r="B814" t="s">
        <v>1645</v>
      </c>
      <c r="C814" s="1">
        <v>45628</v>
      </c>
      <c r="D814" t="s">
        <v>11</v>
      </c>
      <c r="E814" t="s">
        <v>16</v>
      </c>
      <c r="G814">
        <v>34.86</v>
      </c>
      <c r="I814" t="s">
        <v>21</v>
      </c>
    </row>
    <row r="815" spans="1:9" x14ac:dyDescent="0.35">
      <c r="A815" t="s">
        <v>1646</v>
      </c>
      <c r="B815" t="s">
        <v>1647</v>
      </c>
      <c r="C815" s="1">
        <v>45296</v>
      </c>
      <c r="D815" t="s">
        <v>37</v>
      </c>
      <c r="E815" t="s">
        <v>12</v>
      </c>
      <c r="F815">
        <v>8</v>
      </c>
      <c r="G815">
        <v>192.95</v>
      </c>
      <c r="H815">
        <v>1543.6</v>
      </c>
      <c r="I815" t="s">
        <v>38</v>
      </c>
    </row>
    <row r="816" spans="1:9" x14ac:dyDescent="0.35">
      <c r="A816" t="s">
        <v>1648</v>
      </c>
      <c r="B816" t="s">
        <v>1649</v>
      </c>
      <c r="C816" s="1">
        <v>45770</v>
      </c>
      <c r="D816" t="s">
        <v>34</v>
      </c>
      <c r="E816" t="s">
        <v>12</v>
      </c>
      <c r="G816">
        <v>63.13</v>
      </c>
      <c r="I816" t="s">
        <v>21</v>
      </c>
    </row>
    <row r="817" spans="1:9" x14ac:dyDescent="0.35">
      <c r="A817" t="s">
        <v>1650</v>
      </c>
      <c r="B817" t="s">
        <v>1651</v>
      </c>
      <c r="C817" s="1">
        <v>45346</v>
      </c>
      <c r="D817" t="s">
        <v>37</v>
      </c>
      <c r="E817" t="s">
        <v>28</v>
      </c>
      <c r="G817">
        <v>197.05</v>
      </c>
      <c r="I817" t="s">
        <v>38</v>
      </c>
    </row>
    <row r="818" spans="1:9" x14ac:dyDescent="0.35">
      <c r="A818" t="s">
        <v>1652</v>
      </c>
      <c r="B818" t="s">
        <v>1653</v>
      </c>
      <c r="C818" s="1">
        <v>45404</v>
      </c>
      <c r="D818" t="s">
        <v>37</v>
      </c>
      <c r="E818" t="s">
        <v>12</v>
      </c>
      <c r="G818">
        <v>57.7</v>
      </c>
      <c r="I818" t="s">
        <v>31</v>
      </c>
    </row>
    <row r="819" spans="1:9" x14ac:dyDescent="0.35">
      <c r="A819" t="s">
        <v>1654</v>
      </c>
      <c r="B819" t="s">
        <v>1655</v>
      </c>
      <c r="C819" s="1">
        <v>45691</v>
      </c>
      <c r="D819" t="s">
        <v>37</v>
      </c>
      <c r="E819" t="s">
        <v>12</v>
      </c>
      <c r="G819">
        <v>183.97</v>
      </c>
      <c r="I819" t="s">
        <v>21</v>
      </c>
    </row>
    <row r="820" spans="1:9" x14ac:dyDescent="0.35">
      <c r="A820" t="s">
        <v>1656</v>
      </c>
      <c r="B820" t="s">
        <v>1657</v>
      </c>
      <c r="C820" s="1">
        <v>45464</v>
      </c>
      <c r="D820" t="s">
        <v>37</v>
      </c>
      <c r="E820" t="s">
        <v>47</v>
      </c>
      <c r="F820">
        <v>3</v>
      </c>
      <c r="G820">
        <v>121.81</v>
      </c>
      <c r="H820">
        <v>365.43</v>
      </c>
      <c r="I820" t="s">
        <v>52</v>
      </c>
    </row>
    <row r="821" spans="1:9" x14ac:dyDescent="0.35">
      <c r="A821" t="s">
        <v>1658</v>
      </c>
      <c r="B821" t="s">
        <v>1659</v>
      </c>
      <c r="C821" s="1">
        <v>45101</v>
      </c>
      <c r="D821" t="s">
        <v>37</v>
      </c>
      <c r="E821" t="s">
        <v>47</v>
      </c>
      <c r="F821">
        <v>5</v>
      </c>
      <c r="G821">
        <v>145.75</v>
      </c>
      <c r="H821">
        <v>728.75</v>
      </c>
      <c r="I821" t="s">
        <v>13</v>
      </c>
    </row>
    <row r="822" spans="1:9" x14ac:dyDescent="0.35">
      <c r="A822" t="s">
        <v>1660</v>
      </c>
      <c r="B822" t="s">
        <v>1661</v>
      </c>
      <c r="C822" s="1">
        <v>45180</v>
      </c>
      <c r="D822" t="s">
        <v>27</v>
      </c>
      <c r="E822" t="s">
        <v>47</v>
      </c>
      <c r="G822">
        <v>22.01</v>
      </c>
      <c r="I822" t="s">
        <v>38</v>
      </c>
    </row>
    <row r="823" spans="1:9" x14ac:dyDescent="0.35">
      <c r="A823" t="s">
        <v>1662</v>
      </c>
      <c r="B823" t="s">
        <v>1663</v>
      </c>
      <c r="C823" s="1">
        <v>45069</v>
      </c>
      <c r="D823" t="s">
        <v>11</v>
      </c>
      <c r="E823" t="s">
        <v>24</v>
      </c>
      <c r="F823">
        <v>5</v>
      </c>
      <c r="G823">
        <v>157.61000000000001</v>
      </c>
      <c r="H823">
        <v>788.05</v>
      </c>
      <c r="I823" t="s">
        <v>38</v>
      </c>
    </row>
    <row r="824" spans="1:9" x14ac:dyDescent="0.35">
      <c r="A824" t="s">
        <v>1664</v>
      </c>
      <c r="B824" t="s">
        <v>1665</v>
      </c>
      <c r="C824" s="1">
        <v>45169</v>
      </c>
      <c r="D824" t="s">
        <v>11</v>
      </c>
      <c r="E824" t="s">
        <v>24</v>
      </c>
      <c r="G824">
        <v>45.58</v>
      </c>
      <c r="I824" t="s">
        <v>17</v>
      </c>
    </row>
    <row r="825" spans="1:9" x14ac:dyDescent="0.35">
      <c r="A825" t="s">
        <v>1666</v>
      </c>
      <c r="B825" t="s">
        <v>1667</v>
      </c>
      <c r="C825" s="1">
        <v>45089</v>
      </c>
      <c r="D825" t="s">
        <v>20</v>
      </c>
      <c r="E825" t="s">
        <v>28</v>
      </c>
      <c r="F825">
        <v>4</v>
      </c>
      <c r="G825">
        <v>72.88</v>
      </c>
      <c r="H825">
        <v>291.52</v>
      </c>
      <c r="I825" t="s">
        <v>38</v>
      </c>
    </row>
    <row r="826" spans="1:9" x14ac:dyDescent="0.35">
      <c r="A826" t="s">
        <v>1668</v>
      </c>
      <c r="B826" t="s">
        <v>1669</v>
      </c>
      <c r="C826" s="1">
        <v>45233</v>
      </c>
      <c r="D826" t="s">
        <v>34</v>
      </c>
      <c r="E826" t="s">
        <v>28</v>
      </c>
      <c r="F826">
        <v>9</v>
      </c>
      <c r="G826">
        <v>99.32</v>
      </c>
      <c r="H826">
        <v>893.88</v>
      </c>
      <c r="I826" t="s">
        <v>52</v>
      </c>
    </row>
    <row r="827" spans="1:9" x14ac:dyDescent="0.35">
      <c r="A827" t="s">
        <v>1670</v>
      </c>
      <c r="B827" t="s">
        <v>1671</v>
      </c>
      <c r="C827" s="1">
        <v>45193</v>
      </c>
      <c r="D827" t="s">
        <v>11</v>
      </c>
      <c r="E827" t="s">
        <v>47</v>
      </c>
      <c r="F827">
        <v>9</v>
      </c>
      <c r="G827">
        <v>173.69</v>
      </c>
      <c r="H827">
        <v>1563.21</v>
      </c>
      <c r="I827" t="s">
        <v>31</v>
      </c>
    </row>
    <row r="828" spans="1:9" x14ac:dyDescent="0.35">
      <c r="A828" t="s">
        <v>1672</v>
      </c>
      <c r="B828" t="s">
        <v>1673</v>
      </c>
      <c r="C828" s="1">
        <v>45263</v>
      </c>
      <c r="D828" t="s">
        <v>11</v>
      </c>
      <c r="E828" t="s">
        <v>28</v>
      </c>
      <c r="G828">
        <v>137.41999999999999</v>
      </c>
      <c r="I828" t="s">
        <v>31</v>
      </c>
    </row>
    <row r="829" spans="1:9" x14ac:dyDescent="0.35">
      <c r="A829" t="s">
        <v>1674</v>
      </c>
      <c r="B829" t="s">
        <v>1675</v>
      </c>
      <c r="C829" s="1">
        <v>45538</v>
      </c>
      <c r="D829" t="s">
        <v>37</v>
      </c>
      <c r="E829" t="s">
        <v>12</v>
      </c>
      <c r="G829">
        <v>74.040000000000006</v>
      </c>
      <c r="I829" t="s">
        <v>52</v>
      </c>
    </row>
    <row r="830" spans="1:9" x14ac:dyDescent="0.35">
      <c r="A830" t="s">
        <v>1676</v>
      </c>
      <c r="B830" t="s">
        <v>1677</v>
      </c>
      <c r="C830" s="1">
        <v>45712</v>
      </c>
      <c r="D830" t="s">
        <v>37</v>
      </c>
      <c r="E830" t="s">
        <v>24</v>
      </c>
      <c r="F830">
        <v>8</v>
      </c>
      <c r="G830">
        <v>110.37</v>
      </c>
      <c r="H830">
        <v>882.96</v>
      </c>
      <c r="I830" t="s">
        <v>21</v>
      </c>
    </row>
    <row r="831" spans="1:9" x14ac:dyDescent="0.35">
      <c r="A831" t="s">
        <v>1678</v>
      </c>
      <c r="B831" t="s">
        <v>1679</v>
      </c>
      <c r="C831" s="1">
        <v>45592</v>
      </c>
      <c r="D831" t="s">
        <v>34</v>
      </c>
      <c r="E831" t="s">
        <v>47</v>
      </c>
      <c r="F831">
        <v>7</v>
      </c>
      <c r="G831">
        <v>167.68</v>
      </c>
      <c r="I831" t="s">
        <v>38</v>
      </c>
    </row>
    <row r="832" spans="1:9" x14ac:dyDescent="0.35">
      <c r="A832" t="s">
        <v>1680</v>
      </c>
      <c r="B832" t="s">
        <v>1681</v>
      </c>
      <c r="C832" s="1">
        <v>45240</v>
      </c>
      <c r="D832" t="s">
        <v>69</v>
      </c>
      <c r="E832" t="s">
        <v>24</v>
      </c>
      <c r="F832">
        <v>8</v>
      </c>
      <c r="G832">
        <v>87.32</v>
      </c>
      <c r="H832">
        <v>698.56</v>
      </c>
      <c r="I832" t="s">
        <v>21</v>
      </c>
    </row>
    <row r="833" spans="1:9" x14ac:dyDescent="0.35">
      <c r="A833" t="s">
        <v>1682</v>
      </c>
      <c r="B833" t="s">
        <v>1683</v>
      </c>
      <c r="C833" s="1">
        <v>45489</v>
      </c>
      <c r="D833" t="s">
        <v>34</v>
      </c>
      <c r="E833" t="s">
        <v>24</v>
      </c>
      <c r="G833">
        <v>79.36</v>
      </c>
      <c r="I833" t="s">
        <v>38</v>
      </c>
    </row>
    <row r="834" spans="1:9" x14ac:dyDescent="0.35">
      <c r="A834" t="s">
        <v>1684</v>
      </c>
      <c r="B834" t="s">
        <v>1685</v>
      </c>
      <c r="C834" s="1">
        <v>45494</v>
      </c>
      <c r="D834" t="s">
        <v>27</v>
      </c>
      <c r="E834" t="s">
        <v>24</v>
      </c>
      <c r="F834">
        <v>6</v>
      </c>
      <c r="G834">
        <v>188.03</v>
      </c>
      <c r="H834">
        <v>1128.18</v>
      </c>
      <c r="I834" t="s">
        <v>52</v>
      </c>
    </row>
    <row r="835" spans="1:9" x14ac:dyDescent="0.35">
      <c r="A835" t="s">
        <v>1686</v>
      </c>
      <c r="B835" t="s">
        <v>1687</v>
      </c>
      <c r="C835" s="1">
        <v>45612</v>
      </c>
      <c r="D835" t="s">
        <v>27</v>
      </c>
      <c r="E835" t="s">
        <v>16</v>
      </c>
      <c r="G835">
        <v>169.83</v>
      </c>
      <c r="I835" t="s">
        <v>13</v>
      </c>
    </row>
    <row r="836" spans="1:9" x14ac:dyDescent="0.35">
      <c r="A836" t="s">
        <v>1688</v>
      </c>
      <c r="B836" t="s">
        <v>1689</v>
      </c>
      <c r="C836" s="1">
        <v>45407</v>
      </c>
      <c r="D836" t="s">
        <v>27</v>
      </c>
      <c r="E836" t="s">
        <v>47</v>
      </c>
      <c r="F836">
        <v>7</v>
      </c>
      <c r="G836">
        <v>99.69</v>
      </c>
      <c r="H836">
        <v>697.83</v>
      </c>
      <c r="I836" t="s">
        <v>52</v>
      </c>
    </row>
    <row r="837" spans="1:9" x14ac:dyDescent="0.35">
      <c r="A837" t="s">
        <v>1690</v>
      </c>
      <c r="B837" t="s">
        <v>1691</v>
      </c>
      <c r="C837" s="1">
        <v>45542</v>
      </c>
      <c r="D837" t="s">
        <v>37</v>
      </c>
      <c r="E837" t="s">
        <v>28</v>
      </c>
      <c r="G837">
        <v>67.44</v>
      </c>
      <c r="I837" t="s">
        <v>17</v>
      </c>
    </row>
    <row r="838" spans="1:9" x14ac:dyDescent="0.35">
      <c r="A838" t="s">
        <v>1692</v>
      </c>
      <c r="B838" t="s">
        <v>1693</v>
      </c>
      <c r="C838" s="1">
        <v>45412</v>
      </c>
      <c r="D838" t="s">
        <v>69</v>
      </c>
      <c r="E838" t="s">
        <v>47</v>
      </c>
      <c r="G838">
        <v>35.53</v>
      </c>
      <c r="I838" t="s">
        <v>31</v>
      </c>
    </row>
    <row r="839" spans="1:9" x14ac:dyDescent="0.35">
      <c r="A839" t="s">
        <v>1694</v>
      </c>
      <c r="B839" t="s">
        <v>1695</v>
      </c>
      <c r="C839" s="1">
        <v>45059</v>
      </c>
      <c r="D839" t="s">
        <v>34</v>
      </c>
      <c r="E839" t="s">
        <v>47</v>
      </c>
      <c r="G839">
        <v>112.87</v>
      </c>
      <c r="I839" t="s">
        <v>21</v>
      </c>
    </row>
    <row r="840" spans="1:9" x14ac:dyDescent="0.35">
      <c r="A840" t="s">
        <v>1696</v>
      </c>
      <c r="B840" t="s">
        <v>1697</v>
      </c>
      <c r="C840" s="1">
        <v>45225</v>
      </c>
      <c r="D840" t="s">
        <v>27</v>
      </c>
      <c r="E840" t="s">
        <v>24</v>
      </c>
      <c r="F840">
        <v>1</v>
      </c>
      <c r="G840">
        <v>47.29</v>
      </c>
      <c r="H840">
        <v>47.29</v>
      </c>
      <c r="I840" t="s">
        <v>38</v>
      </c>
    </row>
    <row r="841" spans="1:9" x14ac:dyDescent="0.35">
      <c r="A841" t="s">
        <v>1698</v>
      </c>
      <c r="B841" t="s">
        <v>1699</v>
      </c>
      <c r="C841" s="1">
        <v>45168</v>
      </c>
      <c r="D841" t="s">
        <v>69</v>
      </c>
      <c r="E841" t="s">
        <v>28</v>
      </c>
      <c r="G841">
        <v>165.58</v>
      </c>
      <c r="I841" t="s">
        <v>52</v>
      </c>
    </row>
    <row r="842" spans="1:9" x14ac:dyDescent="0.35">
      <c r="A842" t="s">
        <v>1700</v>
      </c>
      <c r="B842" t="s">
        <v>1701</v>
      </c>
      <c r="C842" s="1">
        <v>45370</v>
      </c>
      <c r="D842" t="s">
        <v>37</v>
      </c>
      <c r="E842" t="s">
        <v>28</v>
      </c>
      <c r="G842">
        <v>16.739999999999998</v>
      </c>
      <c r="I842" t="s">
        <v>31</v>
      </c>
    </row>
    <row r="843" spans="1:9" x14ac:dyDescent="0.35">
      <c r="A843" t="s">
        <v>1702</v>
      </c>
      <c r="B843" t="s">
        <v>1703</v>
      </c>
      <c r="C843" s="1">
        <v>45203</v>
      </c>
      <c r="D843" t="s">
        <v>27</v>
      </c>
      <c r="E843" t="s">
        <v>24</v>
      </c>
      <c r="G843">
        <v>20.62</v>
      </c>
      <c r="I843" t="s">
        <v>52</v>
      </c>
    </row>
    <row r="844" spans="1:9" x14ac:dyDescent="0.35">
      <c r="A844" t="s">
        <v>1704</v>
      </c>
      <c r="B844" t="s">
        <v>1705</v>
      </c>
      <c r="C844" s="1">
        <v>45219</v>
      </c>
      <c r="D844" t="s">
        <v>11</v>
      </c>
      <c r="E844" t="s">
        <v>12</v>
      </c>
      <c r="F844">
        <v>8</v>
      </c>
      <c r="G844">
        <v>71.510000000000005</v>
      </c>
      <c r="H844">
        <v>572.08000000000004</v>
      </c>
      <c r="I844" t="s">
        <v>52</v>
      </c>
    </row>
    <row r="845" spans="1:9" x14ac:dyDescent="0.35">
      <c r="A845" t="s">
        <v>1706</v>
      </c>
      <c r="B845" t="s">
        <v>1707</v>
      </c>
      <c r="C845" s="1">
        <v>45501</v>
      </c>
      <c r="D845" t="s">
        <v>34</v>
      </c>
      <c r="E845" t="s">
        <v>28</v>
      </c>
      <c r="F845">
        <v>8</v>
      </c>
      <c r="G845">
        <v>93.96</v>
      </c>
      <c r="H845">
        <v>751.68</v>
      </c>
      <c r="I845" t="s">
        <v>38</v>
      </c>
    </row>
    <row r="846" spans="1:9" x14ac:dyDescent="0.35">
      <c r="A846" t="s">
        <v>1708</v>
      </c>
      <c r="B846" t="s">
        <v>1709</v>
      </c>
      <c r="C846" s="1">
        <v>45463</v>
      </c>
      <c r="D846" t="s">
        <v>34</v>
      </c>
      <c r="E846" t="s">
        <v>47</v>
      </c>
      <c r="G846">
        <v>91.81</v>
      </c>
      <c r="I846" t="s">
        <v>38</v>
      </c>
    </row>
    <row r="847" spans="1:9" x14ac:dyDescent="0.35">
      <c r="A847" t="s">
        <v>1710</v>
      </c>
      <c r="B847" t="s">
        <v>1711</v>
      </c>
      <c r="C847" s="1">
        <v>45676</v>
      </c>
      <c r="D847" t="s">
        <v>20</v>
      </c>
      <c r="E847" t="s">
        <v>12</v>
      </c>
      <c r="F847">
        <v>7</v>
      </c>
      <c r="G847">
        <v>170.03</v>
      </c>
      <c r="I847" t="s">
        <v>13</v>
      </c>
    </row>
    <row r="848" spans="1:9" x14ac:dyDescent="0.35">
      <c r="A848" t="s">
        <v>1712</v>
      </c>
      <c r="B848" t="s">
        <v>1713</v>
      </c>
      <c r="C848" s="1">
        <v>45398</v>
      </c>
      <c r="D848" t="s">
        <v>27</v>
      </c>
      <c r="E848" t="s">
        <v>47</v>
      </c>
      <c r="G848">
        <v>43.97</v>
      </c>
      <c r="I848" t="s">
        <v>52</v>
      </c>
    </row>
    <row r="849" spans="1:9" x14ac:dyDescent="0.35">
      <c r="A849" t="s">
        <v>1714</v>
      </c>
      <c r="B849" t="s">
        <v>1715</v>
      </c>
      <c r="C849" s="1">
        <v>45667</v>
      </c>
      <c r="D849" t="s">
        <v>27</v>
      </c>
      <c r="E849" t="s">
        <v>12</v>
      </c>
      <c r="F849">
        <v>6</v>
      </c>
      <c r="G849">
        <v>167.53</v>
      </c>
      <c r="H849">
        <v>1005.18</v>
      </c>
      <c r="I849" t="s">
        <v>31</v>
      </c>
    </row>
    <row r="850" spans="1:9" x14ac:dyDescent="0.35">
      <c r="A850" t="s">
        <v>1716</v>
      </c>
      <c r="B850" t="s">
        <v>1717</v>
      </c>
      <c r="C850" s="1">
        <v>45570</v>
      </c>
      <c r="D850" t="s">
        <v>11</v>
      </c>
      <c r="E850" t="s">
        <v>24</v>
      </c>
      <c r="G850">
        <v>161.30000000000001</v>
      </c>
      <c r="I850" t="s">
        <v>21</v>
      </c>
    </row>
    <row r="851" spans="1:9" x14ac:dyDescent="0.35">
      <c r="A851" t="s">
        <v>1718</v>
      </c>
      <c r="B851" t="s">
        <v>1719</v>
      </c>
      <c r="C851" s="1">
        <v>45451</v>
      </c>
      <c r="D851" t="s">
        <v>69</v>
      </c>
      <c r="E851" t="s">
        <v>16</v>
      </c>
      <c r="F851">
        <v>3</v>
      </c>
      <c r="G851">
        <v>83.01</v>
      </c>
      <c r="H851">
        <v>249.03</v>
      </c>
      <c r="I851" t="s">
        <v>38</v>
      </c>
    </row>
    <row r="852" spans="1:9" x14ac:dyDescent="0.35">
      <c r="A852" t="s">
        <v>1720</v>
      </c>
      <c r="B852" t="s">
        <v>1721</v>
      </c>
      <c r="C852" s="1">
        <v>45396</v>
      </c>
      <c r="D852" t="s">
        <v>20</v>
      </c>
      <c r="E852" t="s">
        <v>47</v>
      </c>
      <c r="G852">
        <v>103.68</v>
      </c>
      <c r="I852" t="s">
        <v>52</v>
      </c>
    </row>
    <row r="853" spans="1:9" x14ac:dyDescent="0.35">
      <c r="A853" t="s">
        <v>1722</v>
      </c>
      <c r="B853" t="s">
        <v>1723</v>
      </c>
      <c r="C853" s="1">
        <v>45623</v>
      </c>
      <c r="D853" t="s">
        <v>34</v>
      </c>
      <c r="E853" t="s">
        <v>16</v>
      </c>
      <c r="G853">
        <v>59.21</v>
      </c>
      <c r="I853" t="s">
        <v>13</v>
      </c>
    </row>
    <row r="854" spans="1:9" x14ac:dyDescent="0.35">
      <c r="A854" t="s">
        <v>1724</v>
      </c>
      <c r="B854" t="s">
        <v>1725</v>
      </c>
      <c r="C854" s="1">
        <v>45492</v>
      </c>
      <c r="D854" t="s">
        <v>69</v>
      </c>
      <c r="E854" t="s">
        <v>16</v>
      </c>
      <c r="F854">
        <v>8</v>
      </c>
      <c r="G854">
        <v>61.88</v>
      </c>
      <c r="H854">
        <v>495.04</v>
      </c>
      <c r="I854" t="s">
        <v>13</v>
      </c>
    </row>
    <row r="855" spans="1:9" x14ac:dyDescent="0.35">
      <c r="A855" t="s">
        <v>1726</v>
      </c>
      <c r="B855" t="s">
        <v>1727</v>
      </c>
      <c r="C855" s="1">
        <v>45627</v>
      </c>
      <c r="D855" t="s">
        <v>11</v>
      </c>
      <c r="E855" t="s">
        <v>28</v>
      </c>
      <c r="G855">
        <v>194.09</v>
      </c>
      <c r="I855" t="s">
        <v>31</v>
      </c>
    </row>
    <row r="856" spans="1:9" x14ac:dyDescent="0.35">
      <c r="A856" t="s">
        <v>1728</v>
      </c>
      <c r="B856" t="s">
        <v>1729</v>
      </c>
      <c r="C856" s="1">
        <v>45718</v>
      </c>
      <c r="D856" t="s">
        <v>34</v>
      </c>
      <c r="E856" t="s">
        <v>16</v>
      </c>
      <c r="F856">
        <v>1</v>
      </c>
      <c r="G856">
        <v>158.30000000000001</v>
      </c>
      <c r="H856">
        <v>158.30000000000001</v>
      </c>
      <c r="I856" t="s">
        <v>13</v>
      </c>
    </row>
    <row r="857" spans="1:9" x14ac:dyDescent="0.35">
      <c r="A857" t="s">
        <v>1730</v>
      </c>
      <c r="B857" t="s">
        <v>1731</v>
      </c>
      <c r="C857" s="1">
        <v>45101</v>
      </c>
      <c r="D857" t="s">
        <v>69</v>
      </c>
      <c r="E857" t="s">
        <v>12</v>
      </c>
      <c r="G857">
        <v>194.86</v>
      </c>
      <c r="I857" t="s">
        <v>52</v>
      </c>
    </row>
    <row r="858" spans="1:9" x14ac:dyDescent="0.35">
      <c r="A858" t="s">
        <v>1732</v>
      </c>
      <c r="B858" t="s">
        <v>1733</v>
      </c>
      <c r="C858" s="1">
        <v>45550</v>
      </c>
      <c r="D858" t="s">
        <v>37</v>
      </c>
      <c r="E858" t="s">
        <v>47</v>
      </c>
      <c r="F858">
        <v>7</v>
      </c>
      <c r="G858">
        <v>94.83</v>
      </c>
      <c r="H858">
        <v>663.81</v>
      </c>
      <c r="I858" t="s">
        <v>13</v>
      </c>
    </row>
    <row r="859" spans="1:9" x14ac:dyDescent="0.35">
      <c r="A859" t="s">
        <v>1734</v>
      </c>
      <c r="B859" t="s">
        <v>1735</v>
      </c>
      <c r="C859" s="1">
        <v>45501</v>
      </c>
      <c r="D859" t="s">
        <v>20</v>
      </c>
      <c r="E859" t="s">
        <v>47</v>
      </c>
      <c r="F859">
        <v>4</v>
      </c>
      <c r="G859">
        <v>173.66</v>
      </c>
      <c r="H859">
        <v>694.64</v>
      </c>
      <c r="I859" t="s">
        <v>21</v>
      </c>
    </row>
    <row r="860" spans="1:9" x14ac:dyDescent="0.35">
      <c r="A860" t="s">
        <v>1736</v>
      </c>
      <c r="B860" t="s">
        <v>1737</v>
      </c>
      <c r="C860" s="1">
        <v>45278</v>
      </c>
      <c r="D860" t="s">
        <v>69</v>
      </c>
      <c r="E860" t="s">
        <v>28</v>
      </c>
      <c r="F860">
        <v>6</v>
      </c>
      <c r="G860">
        <v>185.22</v>
      </c>
      <c r="H860">
        <v>1111.32</v>
      </c>
      <c r="I860" t="s">
        <v>21</v>
      </c>
    </row>
    <row r="861" spans="1:9" x14ac:dyDescent="0.35">
      <c r="A861" t="s">
        <v>1738</v>
      </c>
      <c r="B861" t="s">
        <v>1739</v>
      </c>
      <c r="C861" s="1">
        <v>45348</v>
      </c>
      <c r="D861" t="s">
        <v>37</v>
      </c>
      <c r="E861" t="s">
        <v>12</v>
      </c>
      <c r="F861">
        <v>9</v>
      </c>
      <c r="G861">
        <v>179.01</v>
      </c>
      <c r="H861">
        <v>1611.09</v>
      </c>
      <c r="I861" t="s">
        <v>21</v>
      </c>
    </row>
    <row r="862" spans="1:9" x14ac:dyDescent="0.35">
      <c r="A862" t="s">
        <v>1740</v>
      </c>
      <c r="B862" t="s">
        <v>1741</v>
      </c>
      <c r="C862" s="1">
        <v>45246</v>
      </c>
      <c r="D862" t="s">
        <v>27</v>
      </c>
      <c r="E862" t="s">
        <v>16</v>
      </c>
      <c r="F862">
        <v>1</v>
      </c>
      <c r="G862">
        <v>175.11</v>
      </c>
      <c r="H862">
        <v>175.11</v>
      </c>
      <c r="I862" t="s">
        <v>13</v>
      </c>
    </row>
    <row r="863" spans="1:9" x14ac:dyDescent="0.35">
      <c r="A863" t="s">
        <v>1742</v>
      </c>
      <c r="B863" t="s">
        <v>1743</v>
      </c>
      <c r="C863" s="1">
        <v>45135</v>
      </c>
      <c r="D863" t="s">
        <v>34</v>
      </c>
      <c r="E863" t="s">
        <v>16</v>
      </c>
      <c r="F863">
        <v>5</v>
      </c>
      <c r="G863">
        <v>56.32</v>
      </c>
      <c r="H863">
        <v>281.60000000000002</v>
      </c>
      <c r="I863" t="s">
        <v>21</v>
      </c>
    </row>
    <row r="864" spans="1:9" x14ac:dyDescent="0.35">
      <c r="A864" t="s">
        <v>1744</v>
      </c>
      <c r="B864" t="s">
        <v>1745</v>
      </c>
      <c r="C864" s="1">
        <v>45489</v>
      </c>
      <c r="D864" t="s">
        <v>37</v>
      </c>
      <c r="E864" t="s">
        <v>24</v>
      </c>
      <c r="G864">
        <v>126.17</v>
      </c>
      <c r="I864" t="s">
        <v>13</v>
      </c>
    </row>
    <row r="865" spans="1:9" x14ac:dyDescent="0.35">
      <c r="A865" t="s">
        <v>1746</v>
      </c>
      <c r="B865" t="s">
        <v>1747</v>
      </c>
      <c r="C865" s="1">
        <v>45105</v>
      </c>
      <c r="D865" t="s">
        <v>20</v>
      </c>
      <c r="E865" t="s">
        <v>16</v>
      </c>
      <c r="G865">
        <v>194.79</v>
      </c>
      <c r="I865" t="s">
        <v>13</v>
      </c>
    </row>
    <row r="866" spans="1:9" x14ac:dyDescent="0.35">
      <c r="A866" t="s">
        <v>1748</v>
      </c>
      <c r="B866" t="s">
        <v>1749</v>
      </c>
      <c r="C866" s="1">
        <v>45237</v>
      </c>
      <c r="D866" t="s">
        <v>27</v>
      </c>
      <c r="E866" t="s">
        <v>28</v>
      </c>
      <c r="F866">
        <v>4</v>
      </c>
      <c r="G866">
        <v>139.47999999999999</v>
      </c>
      <c r="H866">
        <v>557.91999999999996</v>
      </c>
      <c r="I866" t="s">
        <v>17</v>
      </c>
    </row>
    <row r="867" spans="1:9" x14ac:dyDescent="0.35">
      <c r="A867" t="s">
        <v>1750</v>
      </c>
      <c r="B867" t="s">
        <v>1751</v>
      </c>
      <c r="C867" s="1">
        <v>45583</v>
      </c>
      <c r="D867" t="s">
        <v>27</v>
      </c>
      <c r="E867" t="s">
        <v>28</v>
      </c>
      <c r="F867">
        <v>6</v>
      </c>
      <c r="G867">
        <v>118.9</v>
      </c>
      <c r="H867">
        <v>713.4</v>
      </c>
      <c r="I867" t="s">
        <v>52</v>
      </c>
    </row>
    <row r="868" spans="1:9" x14ac:dyDescent="0.35">
      <c r="A868" t="s">
        <v>1752</v>
      </c>
      <c r="B868" t="s">
        <v>1753</v>
      </c>
      <c r="C868" s="1">
        <v>45512</v>
      </c>
      <c r="D868" t="s">
        <v>20</v>
      </c>
      <c r="E868" t="s">
        <v>47</v>
      </c>
      <c r="G868">
        <v>169.35</v>
      </c>
      <c r="I868" t="s">
        <v>17</v>
      </c>
    </row>
    <row r="869" spans="1:9" x14ac:dyDescent="0.35">
      <c r="A869" t="s">
        <v>1754</v>
      </c>
      <c r="B869" t="s">
        <v>1755</v>
      </c>
      <c r="C869" s="1">
        <v>45563</v>
      </c>
      <c r="D869" t="s">
        <v>34</v>
      </c>
      <c r="E869" t="s">
        <v>16</v>
      </c>
      <c r="F869">
        <v>5</v>
      </c>
      <c r="G869">
        <v>165.15</v>
      </c>
      <c r="H869">
        <v>825.75</v>
      </c>
      <c r="I869" t="s">
        <v>31</v>
      </c>
    </row>
    <row r="870" spans="1:9" x14ac:dyDescent="0.35">
      <c r="A870" t="s">
        <v>1756</v>
      </c>
      <c r="B870" t="s">
        <v>1757</v>
      </c>
      <c r="C870" s="1">
        <v>45460</v>
      </c>
      <c r="D870" t="s">
        <v>37</v>
      </c>
      <c r="E870" t="s">
        <v>16</v>
      </c>
      <c r="G870">
        <v>111.78</v>
      </c>
      <c r="I870" t="s">
        <v>17</v>
      </c>
    </row>
    <row r="871" spans="1:9" x14ac:dyDescent="0.35">
      <c r="A871" t="s">
        <v>1758</v>
      </c>
      <c r="B871" t="s">
        <v>1759</v>
      </c>
      <c r="C871" s="1">
        <v>45397</v>
      </c>
      <c r="D871" t="s">
        <v>37</v>
      </c>
      <c r="E871" t="s">
        <v>47</v>
      </c>
      <c r="F871">
        <v>6</v>
      </c>
      <c r="G871">
        <v>170.17</v>
      </c>
      <c r="H871">
        <v>1021.02</v>
      </c>
      <c r="I871" t="s">
        <v>52</v>
      </c>
    </row>
    <row r="872" spans="1:9" x14ac:dyDescent="0.35">
      <c r="A872" t="s">
        <v>1760</v>
      </c>
      <c r="B872" t="s">
        <v>1761</v>
      </c>
      <c r="C872" s="1">
        <v>45567</v>
      </c>
      <c r="D872" t="s">
        <v>34</v>
      </c>
      <c r="E872" t="s">
        <v>24</v>
      </c>
      <c r="F872">
        <v>6</v>
      </c>
      <c r="G872">
        <v>49.38</v>
      </c>
      <c r="H872">
        <v>296.27999999999997</v>
      </c>
      <c r="I872" t="s">
        <v>21</v>
      </c>
    </row>
    <row r="873" spans="1:9" x14ac:dyDescent="0.35">
      <c r="A873" t="s">
        <v>1762</v>
      </c>
      <c r="B873" t="s">
        <v>1763</v>
      </c>
      <c r="C873" s="1">
        <v>45633</v>
      </c>
      <c r="D873" t="s">
        <v>37</v>
      </c>
      <c r="E873" t="s">
        <v>47</v>
      </c>
      <c r="G873">
        <v>111.38</v>
      </c>
      <c r="I873" t="s">
        <v>21</v>
      </c>
    </row>
    <row r="874" spans="1:9" x14ac:dyDescent="0.35">
      <c r="A874" t="s">
        <v>1764</v>
      </c>
      <c r="B874" t="s">
        <v>1765</v>
      </c>
      <c r="C874" s="1">
        <v>45135</v>
      </c>
      <c r="D874" t="s">
        <v>34</v>
      </c>
      <c r="E874" t="s">
        <v>16</v>
      </c>
      <c r="F874">
        <v>8</v>
      </c>
      <c r="G874">
        <v>154.27000000000001</v>
      </c>
      <c r="H874">
        <v>1234.1600000000001</v>
      </c>
      <c r="I874" t="s">
        <v>31</v>
      </c>
    </row>
    <row r="875" spans="1:9" x14ac:dyDescent="0.35">
      <c r="A875" t="s">
        <v>1766</v>
      </c>
      <c r="B875" t="s">
        <v>1767</v>
      </c>
      <c r="C875" s="1">
        <v>45559</v>
      </c>
      <c r="D875" t="s">
        <v>11</v>
      </c>
      <c r="E875" t="s">
        <v>12</v>
      </c>
      <c r="F875">
        <v>4</v>
      </c>
      <c r="G875">
        <v>37.86</v>
      </c>
      <c r="H875">
        <v>151.44</v>
      </c>
      <c r="I875" t="s">
        <v>13</v>
      </c>
    </row>
    <row r="876" spans="1:9" x14ac:dyDescent="0.35">
      <c r="A876" t="s">
        <v>1768</v>
      </c>
      <c r="B876" t="s">
        <v>1769</v>
      </c>
      <c r="C876" s="1">
        <v>45608</v>
      </c>
      <c r="D876" t="s">
        <v>34</v>
      </c>
      <c r="E876" t="s">
        <v>24</v>
      </c>
      <c r="F876">
        <v>8</v>
      </c>
      <c r="G876">
        <v>63.03</v>
      </c>
      <c r="H876">
        <v>504.24</v>
      </c>
      <c r="I876" t="s">
        <v>13</v>
      </c>
    </row>
    <row r="877" spans="1:9" x14ac:dyDescent="0.35">
      <c r="A877" t="s">
        <v>1770</v>
      </c>
      <c r="B877" t="s">
        <v>1771</v>
      </c>
      <c r="C877" s="1">
        <v>45766</v>
      </c>
      <c r="D877" t="s">
        <v>37</v>
      </c>
      <c r="E877" t="s">
        <v>24</v>
      </c>
      <c r="F877">
        <v>8</v>
      </c>
      <c r="G877">
        <v>89.27</v>
      </c>
      <c r="H877">
        <v>714.16</v>
      </c>
      <c r="I877" t="s">
        <v>21</v>
      </c>
    </row>
    <row r="878" spans="1:9" x14ac:dyDescent="0.35">
      <c r="A878" t="s">
        <v>1772</v>
      </c>
      <c r="B878" t="s">
        <v>1773</v>
      </c>
      <c r="C878" s="1">
        <v>45741</v>
      </c>
      <c r="D878" t="s">
        <v>69</v>
      </c>
      <c r="E878" t="s">
        <v>47</v>
      </c>
      <c r="F878">
        <v>5</v>
      </c>
      <c r="G878">
        <v>64.05</v>
      </c>
      <c r="H878">
        <v>320.25</v>
      </c>
      <c r="I878" t="s">
        <v>21</v>
      </c>
    </row>
    <row r="879" spans="1:9" x14ac:dyDescent="0.35">
      <c r="A879" t="s">
        <v>1774</v>
      </c>
      <c r="B879" t="s">
        <v>1775</v>
      </c>
      <c r="C879" s="1">
        <v>45228</v>
      </c>
      <c r="D879" t="s">
        <v>20</v>
      </c>
      <c r="E879" t="s">
        <v>47</v>
      </c>
      <c r="F879">
        <v>4</v>
      </c>
      <c r="G879">
        <v>26.7</v>
      </c>
      <c r="H879">
        <v>106.8</v>
      </c>
      <c r="I879" t="s">
        <v>52</v>
      </c>
    </row>
    <row r="880" spans="1:9" x14ac:dyDescent="0.35">
      <c r="A880" t="s">
        <v>1776</v>
      </c>
      <c r="B880" t="s">
        <v>1777</v>
      </c>
      <c r="C880" s="1">
        <v>45599</v>
      </c>
      <c r="D880" t="s">
        <v>11</v>
      </c>
      <c r="E880" t="s">
        <v>28</v>
      </c>
      <c r="F880">
        <v>2</v>
      </c>
      <c r="G880">
        <v>116.6</v>
      </c>
      <c r="H880">
        <v>233.2</v>
      </c>
      <c r="I880" t="s">
        <v>31</v>
      </c>
    </row>
    <row r="881" spans="1:9" x14ac:dyDescent="0.35">
      <c r="A881" t="s">
        <v>1778</v>
      </c>
      <c r="B881" t="s">
        <v>1779</v>
      </c>
      <c r="C881" s="1">
        <v>45321</v>
      </c>
      <c r="D881" t="s">
        <v>37</v>
      </c>
      <c r="E881" t="s">
        <v>12</v>
      </c>
      <c r="G881">
        <v>18.46</v>
      </c>
      <c r="I881" t="s">
        <v>38</v>
      </c>
    </row>
    <row r="882" spans="1:9" x14ac:dyDescent="0.35">
      <c r="A882" t="s">
        <v>1780</v>
      </c>
      <c r="B882" t="s">
        <v>1781</v>
      </c>
      <c r="C882" s="1">
        <v>45319</v>
      </c>
      <c r="D882" t="s">
        <v>37</v>
      </c>
      <c r="E882" t="s">
        <v>24</v>
      </c>
      <c r="F882">
        <v>3</v>
      </c>
      <c r="G882">
        <v>196.56</v>
      </c>
      <c r="H882">
        <v>589.67999999999995</v>
      </c>
      <c r="I882" t="s">
        <v>13</v>
      </c>
    </row>
    <row r="883" spans="1:9" x14ac:dyDescent="0.35">
      <c r="A883" t="s">
        <v>1782</v>
      </c>
      <c r="B883" t="s">
        <v>1783</v>
      </c>
      <c r="C883" s="1">
        <v>45241</v>
      </c>
      <c r="D883" t="s">
        <v>20</v>
      </c>
      <c r="E883" t="s">
        <v>12</v>
      </c>
      <c r="F883">
        <v>4</v>
      </c>
      <c r="G883">
        <v>184.75</v>
      </c>
      <c r="H883">
        <v>739</v>
      </c>
      <c r="I883" t="s">
        <v>13</v>
      </c>
    </row>
    <row r="884" spans="1:9" x14ac:dyDescent="0.35">
      <c r="A884" t="s">
        <v>1784</v>
      </c>
      <c r="B884" t="s">
        <v>1785</v>
      </c>
      <c r="C884" s="1">
        <v>45169</v>
      </c>
      <c r="D884" t="s">
        <v>27</v>
      </c>
      <c r="E884" t="s">
        <v>12</v>
      </c>
      <c r="F884">
        <v>4</v>
      </c>
      <c r="G884">
        <v>178.88</v>
      </c>
      <c r="H884">
        <v>715.52</v>
      </c>
      <c r="I884" t="s">
        <v>38</v>
      </c>
    </row>
    <row r="885" spans="1:9" x14ac:dyDescent="0.35">
      <c r="A885" t="s">
        <v>1786</v>
      </c>
      <c r="B885" t="s">
        <v>1787</v>
      </c>
      <c r="C885" s="1">
        <v>45615</v>
      </c>
      <c r="D885" t="s">
        <v>20</v>
      </c>
      <c r="E885" t="s">
        <v>24</v>
      </c>
      <c r="F885">
        <v>5</v>
      </c>
      <c r="G885">
        <v>68.78</v>
      </c>
      <c r="H885">
        <v>343.9</v>
      </c>
      <c r="I885" t="s">
        <v>31</v>
      </c>
    </row>
    <row r="886" spans="1:9" x14ac:dyDescent="0.35">
      <c r="A886" t="s">
        <v>1788</v>
      </c>
      <c r="B886" t="s">
        <v>1789</v>
      </c>
      <c r="C886" s="1">
        <v>45171</v>
      </c>
      <c r="D886" t="s">
        <v>20</v>
      </c>
      <c r="E886" t="s">
        <v>28</v>
      </c>
      <c r="G886">
        <v>182.81</v>
      </c>
      <c r="I886" t="s">
        <v>38</v>
      </c>
    </row>
    <row r="887" spans="1:9" x14ac:dyDescent="0.35">
      <c r="A887" t="s">
        <v>1790</v>
      </c>
      <c r="B887" t="s">
        <v>1791</v>
      </c>
      <c r="C887" s="1">
        <v>45332</v>
      </c>
      <c r="D887" t="s">
        <v>27</v>
      </c>
      <c r="E887" t="s">
        <v>47</v>
      </c>
      <c r="G887">
        <v>139.94</v>
      </c>
      <c r="I887" t="s">
        <v>52</v>
      </c>
    </row>
    <row r="888" spans="1:9" x14ac:dyDescent="0.35">
      <c r="A888" t="s">
        <v>1792</v>
      </c>
      <c r="B888" t="s">
        <v>1793</v>
      </c>
      <c r="C888" s="1">
        <v>45315</v>
      </c>
      <c r="D888" t="s">
        <v>34</v>
      </c>
      <c r="E888" t="s">
        <v>47</v>
      </c>
      <c r="G888">
        <v>191.24</v>
      </c>
      <c r="I888" t="s">
        <v>52</v>
      </c>
    </row>
    <row r="889" spans="1:9" x14ac:dyDescent="0.35">
      <c r="A889" t="s">
        <v>1794</v>
      </c>
      <c r="B889" t="s">
        <v>1795</v>
      </c>
      <c r="C889" s="1">
        <v>45643</v>
      </c>
      <c r="D889" t="s">
        <v>37</v>
      </c>
      <c r="E889" t="s">
        <v>28</v>
      </c>
      <c r="G889">
        <v>50.15</v>
      </c>
      <c r="I889" t="s">
        <v>17</v>
      </c>
    </row>
    <row r="890" spans="1:9" x14ac:dyDescent="0.35">
      <c r="A890" t="s">
        <v>1796</v>
      </c>
      <c r="B890" t="s">
        <v>1797</v>
      </c>
      <c r="C890" s="1">
        <v>45418</v>
      </c>
      <c r="D890" t="s">
        <v>37</v>
      </c>
      <c r="E890" t="s">
        <v>16</v>
      </c>
      <c r="G890">
        <v>68.209999999999994</v>
      </c>
      <c r="I890" t="s">
        <v>13</v>
      </c>
    </row>
    <row r="891" spans="1:9" x14ac:dyDescent="0.35">
      <c r="A891" t="s">
        <v>1798</v>
      </c>
      <c r="B891" t="s">
        <v>1799</v>
      </c>
      <c r="C891" s="1">
        <v>45449</v>
      </c>
      <c r="D891" t="s">
        <v>37</v>
      </c>
      <c r="E891" t="s">
        <v>28</v>
      </c>
      <c r="F891">
        <v>7</v>
      </c>
      <c r="G891">
        <v>98.52</v>
      </c>
      <c r="H891">
        <v>689.64</v>
      </c>
      <c r="I891" t="s">
        <v>52</v>
      </c>
    </row>
    <row r="892" spans="1:9" x14ac:dyDescent="0.35">
      <c r="A892" t="s">
        <v>1800</v>
      </c>
      <c r="B892" t="s">
        <v>1801</v>
      </c>
      <c r="C892" s="1">
        <v>45389</v>
      </c>
      <c r="D892" t="s">
        <v>37</v>
      </c>
      <c r="E892" t="s">
        <v>12</v>
      </c>
      <c r="F892">
        <v>8</v>
      </c>
      <c r="G892">
        <v>143.99</v>
      </c>
      <c r="H892">
        <v>1151.92</v>
      </c>
      <c r="I892" t="s">
        <v>17</v>
      </c>
    </row>
    <row r="893" spans="1:9" x14ac:dyDescent="0.35">
      <c r="A893" t="s">
        <v>1802</v>
      </c>
      <c r="B893" t="s">
        <v>1803</v>
      </c>
      <c r="C893" s="1">
        <v>45455</v>
      </c>
      <c r="D893" t="s">
        <v>37</v>
      </c>
      <c r="E893" t="s">
        <v>47</v>
      </c>
      <c r="G893">
        <v>105.17</v>
      </c>
      <c r="I893" t="s">
        <v>13</v>
      </c>
    </row>
    <row r="894" spans="1:9" x14ac:dyDescent="0.35">
      <c r="A894" t="s">
        <v>1804</v>
      </c>
      <c r="B894" t="s">
        <v>1805</v>
      </c>
      <c r="C894" s="1">
        <v>45564</v>
      </c>
      <c r="D894" t="s">
        <v>20</v>
      </c>
      <c r="E894" t="s">
        <v>16</v>
      </c>
      <c r="G894">
        <v>128.31</v>
      </c>
      <c r="I894" t="s">
        <v>31</v>
      </c>
    </row>
    <row r="895" spans="1:9" x14ac:dyDescent="0.35">
      <c r="A895" t="s">
        <v>1806</v>
      </c>
      <c r="B895" t="s">
        <v>1807</v>
      </c>
      <c r="C895" s="1">
        <v>45667</v>
      </c>
      <c r="D895" t="s">
        <v>11</v>
      </c>
      <c r="E895" t="s">
        <v>24</v>
      </c>
      <c r="F895">
        <v>1</v>
      </c>
      <c r="G895">
        <v>23.88</v>
      </c>
      <c r="H895">
        <v>23.88</v>
      </c>
      <c r="I895" t="s">
        <v>21</v>
      </c>
    </row>
    <row r="896" spans="1:9" x14ac:dyDescent="0.35">
      <c r="A896" t="s">
        <v>1808</v>
      </c>
      <c r="B896" t="s">
        <v>1809</v>
      </c>
      <c r="C896" s="1">
        <v>45691</v>
      </c>
      <c r="D896" t="s">
        <v>34</v>
      </c>
      <c r="E896" t="s">
        <v>24</v>
      </c>
      <c r="G896">
        <v>142.43</v>
      </c>
      <c r="I896" t="s">
        <v>31</v>
      </c>
    </row>
    <row r="897" spans="1:9" x14ac:dyDescent="0.35">
      <c r="A897" t="s">
        <v>1810</v>
      </c>
      <c r="B897" t="s">
        <v>1811</v>
      </c>
      <c r="C897" s="1">
        <v>45706</v>
      </c>
      <c r="D897" t="s">
        <v>37</v>
      </c>
      <c r="E897" t="s">
        <v>24</v>
      </c>
      <c r="F897">
        <v>4</v>
      </c>
      <c r="G897">
        <v>195.44</v>
      </c>
      <c r="H897">
        <v>781.76</v>
      </c>
      <c r="I897" t="s">
        <v>17</v>
      </c>
    </row>
    <row r="898" spans="1:9" x14ac:dyDescent="0.35">
      <c r="A898" t="s">
        <v>1812</v>
      </c>
      <c r="B898" t="s">
        <v>1813</v>
      </c>
      <c r="C898" s="1">
        <v>45332</v>
      </c>
      <c r="D898" t="s">
        <v>11</v>
      </c>
      <c r="E898" t="s">
        <v>24</v>
      </c>
      <c r="F898">
        <v>4</v>
      </c>
      <c r="G898">
        <v>143.93</v>
      </c>
      <c r="H898">
        <v>575.72</v>
      </c>
      <c r="I898" t="s">
        <v>13</v>
      </c>
    </row>
    <row r="899" spans="1:9" x14ac:dyDescent="0.35">
      <c r="A899" t="s">
        <v>1814</v>
      </c>
      <c r="B899" t="s">
        <v>1815</v>
      </c>
      <c r="C899" s="1">
        <v>45133</v>
      </c>
      <c r="D899" t="s">
        <v>69</v>
      </c>
      <c r="E899" t="s">
        <v>12</v>
      </c>
      <c r="G899">
        <v>153.5</v>
      </c>
      <c r="I899" t="s">
        <v>13</v>
      </c>
    </row>
    <row r="900" spans="1:9" x14ac:dyDescent="0.35">
      <c r="A900" t="s">
        <v>1816</v>
      </c>
      <c r="B900" t="s">
        <v>1817</v>
      </c>
      <c r="C900" s="1">
        <v>45207</v>
      </c>
      <c r="D900" t="s">
        <v>20</v>
      </c>
      <c r="E900" t="s">
        <v>12</v>
      </c>
      <c r="G900">
        <v>42.29</v>
      </c>
      <c r="I900" t="s">
        <v>21</v>
      </c>
    </row>
    <row r="901" spans="1:9" x14ac:dyDescent="0.35">
      <c r="A901" t="s">
        <v>1818</v>
      </c>
      <c r="B901" t="s">
        <v>1819</v>
      </c>
      <c r="C901" s="1">
        <v>45084</v>
      </c>
      <c r="D901" t="s">
        <v>69</v>
      </c>
      <c r="E901" t="s">
        <v>47</v>
      </c>
      <c r="F901">
        <v>5</v>
      </c>
      <c r="G901">
        <v>28.52</v>
      </c>
      <c r="H901">
        <v>142.6</v>
      </c>
      <c r="I901" t="s">
        <v>17</v>
      </c>
    </row>
    <row r="902" spans="1:9" x14ac:dyDescent="0.35">
      <c r="A902" t="s">
        <v>1820</v>
      </c>
      <c r="B902" t="s">
        <v>1821</v>
      </c>
      <c r="C902" s="1">
        <v>45530</v>
      </c>
      <c r="D902" t="s">
        <v>11</v>
      </c>
      <c r="E902" t="s">
        <v>28</v>
      </c>
      <c r="F902">
        <v>8</v>
      </c>
      <c r="G902">
        <v>65.53</v>
      </c>
      <c r="H902">
        <v>524.24</v>
      </c>
      <c r="I902" t="s">
        <v>52</v>
      </c>
    </row>
    <row r="903" spans="1:9" x14ac:dyDescent="0.35">
      <c r="A903" t="s">
        <v>1822</v>
      </c>
      <c r="B903" t="s">
        <v>1823</v>
      </c>
      <c r="C903" s="1">
        <v>45213</v>
      </c>
      <c r="D903" t="s">
        <v>34</v>
      </c>
      <c r="E903" t="s">
        <v>28</v>
      </c>
      <c r="F903">
        <v>1</v>
      </c>
      <c r="G903">
        <v>199.87</v>
      </c>
      <c r="H903">
        <v>199.87</v>
      </c>
      <c r="I903" t="s">
        <v>13</v>
      </c>
    </row>
    <row r="904" spans="1:9" x14ac:dyDescent="0.35">
      <c r="A904" t="s">
        <v>1824</v>
      </c>
      <c r="B904" t="s">
        <v>1825</v>
      </c>
      <c r="C904" s="1">
        <v>45702</v>
      </c>
      <c r="D904" t="s">
        <v>20</v>
      </c>
      <c r="E904" t="s">
        <v>16</v>
      </c>
      <c r="F904">
        <v>9</v>
      </c>
      <c r="G904">
        <v>82.13</v>
      </c>
      <c r="H904">
        <v>739.17</v>
      </c>
      <c r="I904" t="s">
        <v>13</v>
      </c>
    </row>
    <row r="905" spans="1:9" x14ac:dyDescent="0.35">
      <c r="A905" t="s">
        <v>1826</v>
      </c>
      <c r="B905" t="s">
        <v>1827</v>
      </c>
      <c r="C905" s="1">
        <v>45525</v>
      </c>
      <c r="D905" t="s">
        <v>27</v>
      </c>
      <c r="E905" t="s">
        <v>47</v>
      </c>
      <c r="G905">
        <v>128.16</v>
      </c>
      <c r="I905" t="s">
        <v>13</v>
      </c>
    </row>
    <row r="906" spans="1:9" x14ac:dyDescent="0.35">
      <c r="A906" t="s">
        <v>1828</v>
      </c>
      <c r="B906" t="s">
        <v>1829</v>
      </c>
      <c r="C906" s="1">
        <v>45330</v>
      </c>
      <c r="D906" t="s">
        <v>37</v>
      </c>
      <c r="E906" t="s">
        <v>47</v>
      </c>
      <c r="F906">
        <v>3</v>
      </c>
      <c r="G906">
        <v>63.99</v>
      </c>
      <c r="H906">
        <v>191.97</v>
      </c>
      <c r="I906" t="s">
        <v>31</v>
      </c>
    </row>
    <row r="907" spans="1:9" x14ac:dyDescent="0.35">
      <c r="A907" t="s">
        <v>1830</v>
      </c>
      <c r="B907" t="s">
        <v>1831</v>
      </c>
      <c r="C907" s="1">
        <v>45571</v>
      </c>
      <c r="D907" t="s">
        <v>34</v>
      </c>
      <c r="E907" t="s">
        <v>12</v>
      </c>
      <c r="G907">
        <v>97.7</v>
      </c>
      <c r="I907" t="s">
        <v>38</v>
      </c>
    </row>
    <row r="908" spans="1:9" x14ac:dyDescent="0.35">
      <c r="A908" t="s">
        <v>1832</v>
      </c>
      <c r="B908" t="s">
        <v>1833</v>
      </c>
      <c r="C908" s="1">
        <v>45467</v>
      </c>
      <c r="D908" t="s">
        <v>11</v>
      </c>
      <c r="E908" t="s">
        <v>28</v>
      </c>
      <c r="F908">
        <v>9</v>
      </c>
      <c r="G908">
        <v>49.56</v>
      </c>
      <c r="H908">
        <v>446.04</v>
      </c>
      <c r="I908" t="s">
        <v>52</v>
      </c>
    </row>
    <row r="909" spans="1:9" x14ac:dyDescent="0.35">
      <c r="A909" t="s">
        <v>1834</v>
      </c>
      <c r="B909" t="s">
        <v>1835</v>
      </c>
      <c r="C909" s="1">
        <v>45315</v>
      </c>
      <c r="D909" t="s">
        <v>27</v>
      </c>
      <c r="E909" t="s">
        <v>12</v>
      </c>
      <c r="G909">
        <v>100.39</v>
      </c>
      <c r="I909" t="s">
        <v>21</v>
      </c>
    </row>
    <row r="910" spans="1:9" x14ac:dyDescent="0.35">
      <c r="A910" t="s">
        <v>1836</v>
      </c>
      <c r="B910" t="s">
        <v>1837</v>
      </c>
      <c r="C910" s="1">
        <v>45230</v>
      </c>
      <c r="D910" t="s">
        <v>11</v>
      </c>
      <c r="E910" t="s">
        <v>28</v>
      </c>
      <c r="G910">
        <v>62.8</v>
      </c>
      <c r="I910" t="s">
        <v>17</v>
      </c>
    </row>
    <row r="911" spans="1:9" x14ac:dyDescent="0.35">
      <c r="A911" t="s">
        <v>1838</v>
      </c>
      <c r="B911" t="s">
        <v>1839</v>
      </c>
      <c r="C911" s="1">
        <v>45486</v>
      </c>
      <c r="D911" t="s">
        <v>34</v>
      </c>
      <c r="E911" t="s">
        <v>24</v>
      </c>
      <c r="G911">
        <v>92.64</v>
      </c>
      <c r="I911" t="s">
        <v>17</v>
      </c>
    </row>
    <row r="912" spans="1:9" x14ac:dyDescent="0.35">
      <c r="A912" t="s">
        <v>1840</v>
      </c>
      <c r="B912" t="s">
        <v>1841</v>
      </c>
      <c r="C912" s="1">
        <v>45726</v>
      </c>
      <c r="D912" t="s">
        <v>69</v>
      </c>
      <c r="E912" t="s">
        <v>47</v>
      </c>
      <c r="F912">
        <v>5</v>
      </c>
      <c r="G912">
        <v>137.22</v>
      </c>
      <c r="H912">
        <v>686.1</v>
      </c>
      <c r="I912" t="s">
        <v>31</v>
      </c>
    </row>
    <row r="913" spans="1:9" x14ac:dyDescent="0.35">
      <c r="A913" t="s">
        <v>1842</v>
      </c>
      <c r="B913" t="s">
        <v>1843</v>
      </c>
      <c r="C913" s="1">
        <v>45286</v>
      </c>
      <c r="D913" t="s">
        <v>34</v>
      </c>
      <c r="E913" t="s">
        <v>16</v>
      </c>
      <c r="G913">
        <v>113.43</v>
      </c>
      <c r="I913" t="s">
        <v>13</v>
      </c>
    </row>
    <row r="914" spans="1:9" x14ac:dyDescent="0.35">
      <c r="A914" t="s">
        <v>1844</v>
      </c>
      <c r="B914" t="s">
        <v>1845</v>
      </c>
      <c r="C914" s="1">
        <v>45233</v>
      </c>
      <c r="D914" t="s">
        <v>34</v>
      </c>
      <c r="E914" t="s">
        <v>16</v>
      </c>
      <c r="F914">
        <v>4</v>
      </c>
      <c r="G914">
        <v>41.66</v>
      </c>
      <c r="H914">
        <v>166.64</v>
      </c>
      <c r="I914" t="s">
        <v>31</v>
      </c>
    </row>
    <row r="915" spans="1:9" x14ac:dyDescent="0.35">
      <c r="A915" t="s">
        <v>1846</v>
      </c>
      <c r="B915" t="s">
        <v>1847</v>
      </c>
      <c r="C915" s="1">
        <v>45456</v>
      </c>
      <c r="D915" t="s">
        <v>20</v>
      </c>
      <c r="E915" t="s">
        <v>24</v>
      </c>
      <c r="F915">
        <v>6</v>
      </c>
      <c r="G915">
        <v>34.18</v>
      </c>
      <c r="H915">
        <v>205.08</v>
      </c>
      <c r="I915" t="s">
        <v>17</v>
      </c>
    </row>
    <row r="916" spans="1:9" x14ac:dyDescent="0.35">
      <c r="A916" t="s">
        <v>1848</v>
      </c>
      <c r="B916" t="s">
        <v>1849</v>
      </c>
      <c r="C916" s="1">
        <v>45245</v>
      </c>
      <c r="D916" t="s">
        <v>27</v>
      </c>
      <c r="E916" t="s">
        <v>47</v>
      </c>
      <c r="F916">
        <v>7</v>
      </c>
      <c r="G916">
        <v>14.75</v>
      </c>
      <c r="H916">
        <v>103.25</v>
      </c>
      <c r="I916" t="s">
        <v>38</v>
      </c>
    </row>
    <row r="917" spans="1:9" x14ac:dyDescent="0.35">
      <c r="A917" t="s">
        <v>1850</v>
      </c>
      <c r="B917" t="s">
        <v>1851</v>
      </c>
      <c r="C917" s="1">
        <v>45467</v>
      </c>
      <c r="D917" t="s">
        <v>69</v>
      </c>
      <c r="E917" t="s">
        <v>47</v>
      </c>
      <c r="G917">
        <v>170.67</v>
      </c>
      <c r="I917" t="s">
        <v>52</v>
      </c>
    </row>
    <row r="918" spans="1:9" x14ac:dyDescent="0.35">
      <c r="A918" t="s">
        <v>1852</v>
      </c>
      <c r="B918" t="s">
        <v>1853</v>
      </c>
      <c r="C918" s="1">
        <v>45376</v>
      </c>
      <c r="D918" t="s">
        <v>37</v>
      </c>
      <c r="E918" t="s">
        <v>28</v>
      </c>
      <c r="F918">
        <v>1</v>
      </c>
      <c r="G918">
        <v>164.76</v>
      </c>
      <c r="H918">
        <v>164.76</v>
      </c>
      <c r="I918" t="s">
        <v>17</v>
      </c>
    </row>
    <row r="919" spans="1:9" x14ac:dyDescent="0.35">
      <c r="A919" t="s">
        <v>1854</v>
      </c>
      <c r="B919" t="s">
        <v>1855</v>
      </c>
      <c r="C919" s="1">
        <v>45367</v>
      </c>
      <c r="D919" t="s">
        <v>69</v>
      </c>
      <c r="E919" t="s">
        <v>12</v>
      </c>
      <c r="F919">
        <v>6</v>
      </c>
      <c r="G919">
        <v>68.66</v>
      </c>
      <c r="H919">
        <v>411.96</v>
      </c>
      <c r="I919" t="s">
        <v>17</v>
      </c>
    </row>
    <row r="920" spans="1:9" x14ac:dyDescent="0.35">
      <c r="A920" t="s">
        <v>1856</v>
      </c>
      <c r="B920" t="s">
        <v>1857</v>
      </c>
      <c r="C920" s="1">
        <v>45419</v>
      </c>
      <c r="D920" t="s">
        <v>27</v>
      </c>
      <c r="E920" t="s">
        <v>24</v>
      </c>
      <c r="G920">
        <v>156.03</v>
      </c>
      <c r="I920" t="s">
        <v>38</v>
      </c>
    </row>
    <row r="921" spans="1:9" x14ac:dyDescent="0.35">
      <c r="A921" t="s">
        <v>1858</v>
      </c>
      <c r="B921" t="s">
        <v>1859</v>
      </c>
      <c r="C921" s="1">
        <v>45698</v>
      </c>
      <c r="D921" t="s">
        <v>69</v>
      </c>
      <c r="E921" t="s">
        <v>16</v>
      </c>
      <c r="F921">
        <v>3</v>
      </c>
      <c r="G921">
        <v>98.93</v>
      </c>
      <c r="H921">
        <v>296.79000000000002</v>
      </c>
      <c r="I921" t="s">
        <v>38</v>
      </c>
    </row>
    <row r="922" spans="1:9" x14ac:dyDescent="0.35">
      <c r="A922" t="s">
        <v>1860</v>
      </c>
      <c r="B922" t="s">
        <v>1861</v>
      </c>
      <c r="C922" s="1">
        <v>45472</v>
      </c>
      <c r="D922" t="s">
        <v>69</v>
      </c>
      <c r="E922" t="s">
        <v>24</v>
      </c>
      <c r="F922">
        <v>8</v>
      </c>
      <c r="G922">
        <v>136.1</v>
      </c>
      <c r="H922">
        <v>1088.8</v>
      </c>
      <c r="I922" t="s">
        <v>52</v>
      </c>
    </row>
    <row r="923" spans="1:9" x14ac:dyDescent="0.35">
      <c r="A923" t="s">
        <v>1862</v>
      </c>
      <c r="B923" t="s">
        <v>1863</v>
      </c>
      <c r="C923" s="1">
        <v>45375</v>
      </c>
      <c r="D923" t="s">
        <v>11</v>
      </c>
      <c r="E923" t="s">
        <v>16</v>
      </c>
      <c r="F923">
        <v>5</v>
      </c>
      <c r="G923">
        <v>168.65</v>
      </c>
      <c r="H923">
        <v>843.25</v>
      </c>
      <c r="I923" t="s">
        <v>17</v>
      </c>
    </row>
    <row r="924" spans="1:9" x14ac:dyDescent="0.35">
      <c r="A924" t="s">
        <v>1864</v>
      </c>
      <c r="B924" t="s">
        <v>1865</v>
      </c>
      <c r="C924" s="1">
        <v>45161</v>
      </c>
      <c r="D924" t="s">
        <v>69</v>
      </c>
      <c r="E924" t="s">
        <v>12</v>
      </c>
      <c r="F924">
        <v>9</v>
      </c>
      <c r="G924">
        <v>107.24</v>
      </c>
      <c r="H924">
        <v>965.16</v>
      </c>
      <c r="I924" t="s">
        <v>17</v>
      </c>
    </row>
    <row r="925" spans="1:9" x14ac:dyDescent="0.35">
      <c r="A925" t="s">
        <v>1866</v>
      </c>
      <c r="B925" t="s">
        <v>1867</v>
      </c>
      <c r="C925" s="1">
        <v>45610</v>
      </c>
      <c r="D925" t="s">
        <v>34</v>
      </c>
      <c r="E925" t="s">
        <v>24</v>
      </c>
      <c r="G925">
        <v>192.39</v>
      </c>
      <c r="I925" t="s">
        <v>31</v>
      </c>
    </row>
    <row r="926" spans="1:9" x14ac:dyDescent="0.35">
      <c r="A926" t="s">
        <v>1868</v>
      </c>
      <c r="B926" t="s">
        <v>1869</v>
      </c>
      <c r="C926" s="1">
        <v>45239</v>
      </c>
      <c r="D926" t="s">
        <v>20</v>
      </c>
      <c r="E926" t="s">
        <v>47</v>
      </c>
      <c r="F926">
        <v>9</v>
      </c>
      <c r="G926">
        <v>109.56</v>
      </c>
      <c r="H926">
        <v>986.04</v>
      </c>
      <c r="I926" t="s">
        <v>31</v>
      </c>
    </row>
    <row r="927" spans="1:9" x14ac:dyDescent="0.35">
      <c r="A927" t="s">
        <v>1870</v>
      </c>
      <c r="B927" t="s">
        <v>1871</v>
      </c>
      <c r="C927" s="1">
        <v>45335</v>
      </c>
      <c r="D927" t="s">
        <v>69</v>
      </c>
      <c r="E927" t="s">
        <v>47</v>
      </c>
      <c r="F927">
        <v>4</v>
      </c>
      <c r="G927">
        <v>27.15</v>
      </c>
      <c r="H927">
        <v>108.6</v>
      </c>
      <c r="I927" t="s">
        <v>31</v>
      </c>
    </row>
    <row r="928" spans="1:9" x14ac:dyDescent="0.35">
      <c r="A928" t="s">
        <v>1872</v>
      </c>
      <c r="B928" t="s">
        <v>1873</v>
      </c>
      <c r="C928" s="1">
        <v>45649</v>
      </c>
      <c r="D928" t="s">
        <v>27</v>
      </c>
      <c r="E928" t="s">
        <v>24</v>
      </c>
      <c r="G928">
        <v>163.63999999999999</v>
      </c>
      <c r="I928" t="s">
        <v>52</v>
      </c>
    </row>
    <row r="929" spans="1:9" x14ac:dyDescent="0.35">
      <c r="A929" t="s">
        <v>1874</v>
      </c>
      <c r="B929" t="s">
        <v>1875</v>
      </c>
      <c r="C929" s="1">
        <v>45302</v>
      </c>
      <c r="D929" t="s">
        <v>37</v>
      </c>
      <c r="E929" t="s">
        <v>24</v>
      </c>
      <c r="G929">
        <v>72.11</v>
      </c>
      <c r="I929" t="s">
        <v>13</v>
      </c>
    </row>
    <row r="930" spans="1:9" x14ac:dyDescent="0.35">
      <c r="A930" t="s">
        <v>1876</v>
      </c>
      <c r="B930" t="s">
        <v>1877</v>
      </c>
      <c r="C930" s="1">
        <v>45776</v>
      </c>
      <c r="D930" t="s">
        <v>37</v>
      </c>
      <c r="E930" t="s">
        <v>12</v>
      </c>
      <c r="F930">
        <v>9</v>
      </c>
      <c r="G930">
        <v>50.13</v>
      </c>
      <c r="H930">
        <v>451.17</v>
      </c>
      <c r="I930" t="s">
        <v>21</v>
      </c>
    </row>
    <row r="931" spans="1:9" x14ac:dyDescent="0.35">
      <c r="A931" t="s">
        <v>1878</v>
      </c>
      <c r="B931" t="s">
        <v>583</v>
      </c>
      <c r="C931" s="1">
        <v>45131</v>
      </c>
      <c r="D931" t="s">
        <v>37</v>
      </c>
      <c r="E931" t="s">
        <v>12</v>
      </c>
      <c r="G931">
        <v>133.96</v>
      </c>
      <c r="I931" t="s">
        <v>17</v>
      </c>
    </row>
    <row r="932" spans="1:9" x14ac:dyDescent="0.35">
      <c r="A932" t="s">
        <v>1879</v>
      </c>
      <c r="B932" t="s">
        <v>1880</v>
      </c>
      <c r="C932" s="1">
        <v>45628</v>
      </c>
      <c r="D932" t="s">
        <v>27</v>
      </c>
      <c r="E932" t="s">
        <v>47</v>
      </c>
      <c r="F932">
        <v>4</v>
      </c>
      <c r="G932">
        <v>87.23</v>
      </c>
      <c r="H932">
        <v>348.92</v>
      </c>
      <c r="I932" t="s">
        <v>17</v>
      </c>
    </row>
    <row r="933" spans="1:9" x14ac:dyDescent="0.35">
      <c r="A933" t="s">
        <v>1881</v>
      </c>
      <c r="B933" t="s">
        <v>1882</v>
      </c>
      <c r="C933" s="1">
        <v>45541</v>
      </c>
      <c r="D933" t="s">
        <v>27</v>
      </c>
      <c r="E933" t="s">
        <v>24</v>
      </c>
      <c r="G933">
        <v>161</v>
      </c>
      <c r="I933" t="s">
        <v>52</v>
      </c>
    </row>
    <row r="934" spans="1:9" x14ac:dyDescent="0.35">
      <c r="A934" t="s">
        <v>1883</v>
      </c>
      <c r="B934" t="s">
        <v>1884</v>
      </c>
      <c r="C934" s="1">
        <v>45555</v>
      </c>
      <c r="D934" t="s">
        <v>27</v>
      </c>
      <c r="E934" t="s">
        <v>24</v>
      </c>
      <c r="F934">
        <v>6</v>
      </c>
      <c r="G934">
        <v>41.88</v>
      </c>
      <c r="H934">
        <v>251.28</v>
      </c>
      <c r="I934" t="s">
        <v>31</v>
      </c>
    </row>
    <row r="935" spans="1:9" x14ac:dyDescent="0.35">
      <c r="A935" t="s">
        <v>1885</v>
      </c>
      <c r="B935" t="s">
        <v>1886</v>
      </c>
      <c r="C935" s="1">
        <v>45265</v>
      </c>
      <c r="D935" t="s">
        <v>69</v>
      </c>
      <c r="E935" t="s">
        <v>16</v>
      </c>
      <c r="F935">
        <v>2</v>
      </c>
      <c r="G935">
        <v>136.41</v>
      </c>
      <c r="H935">
        <v>272.82</v>
      </c>
      <c r="I935" t="s">
        <v>38</v>
      </c>
    </row>
    <row r="936" spans="1:9" x14ac:dyDescent="0.35">
      <c r="A936" t="s">
        <v>1887</v>
      </c>
      <c r="B936" t="s">
        <v>1888</v>
      </c>
      <c r="C936" s="1">
        <v>45301</v>
      </c>
      <c r="D936" t="s">
        <v>27</v>
      </c>
      <c r="E936" t="s">
        <v>16</v>
      </c>
      <c r="G936">
        <v>109.92</v>
      </c>
      <c r="I936" t="s">
        <v>52</v>
      </c>
    </row>
    <row r="937" spans="1:9" x14ac:dyDescent="0.35">
      <c r="A937" t="s">
        <v>1889</v>
      </c>
      <c r="B937" t="s">
        <v>1890</v>
      </c>
      <c r="C937" s="1">
        <v>45140</v>
      </c>
      <c r="D937" t="s">
        <v>69</v>
      </c>
      <c r="E937" t="s">
        <v>28</v>
      </c>
      <c r="G937">
        <v>92.63</v>
      </c>
      <c r="I937" t="s">
        <v>38</v>
      </c>
    </row>
    <row r="938" spans="1:9" x14ac:dyDescent="0.35">
      <c r="A938" t="s">
        <v>1891</v>
      </c>
      <c r="B938" t="s">
        <v>1892</v>
      </c>
      <c r="C938" s="1">
        <v>45562</v>
      </c>
      <c r="D938" t="s">
        <v>20</v>
      </c>
      <c r="E938" t="s">
        <v>12</v>
      </c>
      <c r="F938">
        <v>2</v>
      </c>
      <c r="G938">
        <v>139.09</v>
      </c>
      <c r="H938">
        <v>278.18</v>
      </c>
      <c r="I938" t="s">
        <v>52</v>
      </c>
    </row>
    <row r="939" spans="1:9" x14ac:dyDescent="0.35">
      <c r="A939" t="s">
        <v>1893</v>
      </c>
      <c r="B939" t="s">
        <v>1894</v>
      </c>
      <c r="C939" s="1">
        <v>45414</v>
      </c>
      <c r="D939" t="s">
        <v>37</v>
      </c>
      <c r="E939" t="s">
        <v>24</v>
      </c>
      <c r="F939">
        <v>1</v>
      </c>
      <c r="G939">
        <v>84.1</v>
      </c>
      <c r="H939">
        <v>84.1</v>
      </c>
      <c r="I939" t="s">
        <v>13</v>
      </c>
    </row>
    <row r="940" spans="1:9" x14ac:dyDescent="0.35">
      <c r="A940" t="s">
        <v>1895</v>
      </c>
      <c r="B940" t="s">
        <v>1896</v>
      </c>
      <c r="C940" s="1">
        <v>45454</v>
      </c>
      <c r="D940" t="s">
        <v>20</v>
      </c>
      <c r="E940" t="s">
        <v>24</v>
      </c>
      <c r="G940">
        <v>106.09</v>
      </c>
      <c r="I940" t="s">
        <v>13</v>
      </c>
    </row>
    <row r="941" spans="1:9" x14ac:dyDescent="0.35">
      <c r="A941" t="s">
        <v>1897</v>
      </c>
      <c r="B941" t="s">
        <v>1898</v>
      </c>
      <c r="C941" s="1">
        <v>45580</v>
      </c>
      <c r="D941" t="s">
        <v>11</v>
      </c>
      <c r="E941" t="s">
        <v>24</v>
      </c>
      <c r="F941">
        <v>6</v>
      </c>
      <c r="G941">
        <v>42.2</v>
      </c>
      <c r="H941">
        <v>253.2</v>
      </c>
      <c r="I941" t="s">
        <v>17</v>
      </c>
    </row>
    <row r="942" spans="1:9" x14ac:dyDescent="0.35">
      <c r="A942" t="s">
        <v>1899</v>
      </c>
      <c r="B942" t="s">
        <v>1900</v>
      </c>
      <c r="C942" s="1">
        <v>45602</v>
      </c>
      <c r="D942" t="s">
        <v>37</v>
      </c>
      <c r="E942" t="s">
        <v>24</v>
      </c>
      <c r="F942">
        <v>8</v>
      </c>
      <c r="G942">
        <v>112.25</v>
      </c>
      <c r="H942">
        <v>898</v>
      </c>
      <c r="I942" t="s">
        <v>13</v>
      </c>
    </row>
    <row r="943" spans="1:9" x14ac:dyDescent="0.35">
      <c r="A943" t="s">
        <v>1901</v>
      </c>
      <c r="B943" t="s">
        <v>1902</v>
      </c>
      <c r="C943" s="1">
        <v>45712</v>
      </c>
      <c r="D943" t="s">
        <v>34</v>
      </c>
      <c r="E943" t="s">
        <v>28</v>
      </c>
      <c r="F943">
        <v>9</v>
      </c>
      <c r="G943">
        <v>42.74</v>
      </c>
      <c r="H943">
        <v>384.66</v>
      </c>
      <c r="I943" t="s">
        <v>52</v>
      </c>
    </row>
    <row r="944" spans="1:9" x14ac:dyDescent="0.35">
      <c r="A944" t="s">
        <v>1903</v>
      </c>
      <c r="B944" t="s">
        <v>1904</v>
      </c>
      <c r="C944" s="1">
        <v>45733</v>
      </c>
      <c r="D944" t="s">
        <v>27</v>
      </c>
      <c r="E944" t="s">
        <v>12</v>
      </c>
      <c r="F944">
        <v>7</v>
      </c>
      <c r="G944">
        <v>92.23</v>
      </c>
      <c r="H944">
        <v>645.61</v>
      </c>
      <c r="I944" t="s">
        <v>38</v>
      </c>
    </row>
    <row r="945" spans="1:9" x14ac:dyDescent="0.35">
      <c r="A945" t="s">
        <v>1905</v>
      </c>
      <c r="B945" t="s">
        <v>1906</v>
      </c>
      <c r="C945" s="1">
        <v>45559</v>
      </c>
      <c r="D945" t="s">
        <v>69</v>
      </c>
      <c r="E945" t="s">
        <v>47</v>
      </c>
      <c r="F945">
        <v>4</v>
      </c>
      <c r="G945">
        <v>57.14</v>
      </c>
      <c r="H945">
        <v>228.56</v>
      </c>
      <c r="I945" t="s">
        <v>31</v>
      </c>
    </row>
    <row r="946" spans="1:9" x14ac:dyDescent="0.35">
      <c r="A946" t="s">
        <v>1907</v>
      </c>
      <c r="B946" t="s">
        <v>1908</v>
      </c>
      <c r="C946" s="1">
        <v>45057</v>
      </c>
      <c r="D946" t="s">
        <v>27</v>
      </c>
      <c r="E946" t="s">
        <v>16</v>
      </c>
      <c r="F946">
        <v>6</v>
      </c>
      <c r="G946">
        <v>38.65</v>
      </c>
      <c r="H946">
        <v>231.9</v>
      </c>
      <c r="I946" t="s">
        <v>52</v>
      </c>
    </row>
    <row r="947" spans="1:9" x14ac:dyDescent="0.35">
      <c r="A947" t="s">
        <v>1909</v>
      </c>
      <c r="B947" t="s">
        <v>1910</v>
      </c>
      <c r="C947" s="1">
        <v>45405</v>
      </c>
      <c r="D947" t="s">
        <v>27</v>
      </c>
      <c r="E947" t="s">
        <v>16</v>
      </c>
      <c r="F947">
        <v>5</v>
      </c>
      <c r="G947">
        <v>175.57</v>
      </c>
      <c r="H947">
        <v>877.85</v>
      </c>
      <c r="I947" t="s">
        <v>38</v>
      </c>
    </row>
    <row r="948" spans="1:9" x14ac:dyDescent="0.35">
      <c r="A948" t="s">
        <v>1911</v>
      </c>
      <c r="B948" t="s">
        <v>1912</v>
      </c>
      <c r="C948" s="1">
        <v>45242</v>
      </c>
      <c r="D948" t="s">
        <v>34</v>
      </c>
      <c r="E948" t="s">
        <v>16</v>
      </c>
      <c r="F948">
        <v>8</v>
      </c>
      <c r="G948">
        <v>59.01</v>
      </c>
      <c r="H948">
        <v>472.08</v>
      </c>
      <c r="I948" t="s">
        <v>21</v>
      </c>
    </row>
    <row r="949" spans="1:9" x14ac:dyDescent="0.35">
      <c r="A949" t="s">
        <v>1913</v>
      </c>
      <c r="B949" t="s">
        <v>1914</v>
      </c>
      <c r="C949" s="1">
        <v>45109</v>
      </c>
      <c r="D949" t="s">
        <v>34</v>
      </c>
      <c r="E949" t="s">
        <v>12</v>
      </c>
      <c r="F949">
        <v>1</v>
      </c>
      <c r="G949">
        <v>154.11000000000001</v>
      </c>
      <c r="H949">
        <v>154.11000000000001</v>
      </c>
      <c r="I949" t="s">
        <v>21</v>
      </c>
    </row>
    <row r="950" spans="1:9" x14ac:dyDescent="0.35">
      <c r="A950" t="s">
        <v>1915</v>
      </c>
      <c r="B950" t="s">
        <v>1916</v>
      </c>
      <c r="C950" s="1">
        <v>45657</v>
      </c>
      <c r="D950" t="s">
        <v>20</v>
      </c>
      <c r="E950" t="s">
        <v>28</v>
      </c>
      <c r="F950">
        <v>1</v>
      </c>
      <c r="G950">
        <v>163.15</v>
      </c>
      <c r="H950">
        <v>163.15</v>
      </c>
      <c r="I950" t="s">
        <v>17</v>
      </c>
    </row>
    <row r="951" spans="1:9" x14ac:dyDescent="0.35">
      <c r="A951" t="s">
        <v>1917</v>
      </c>
      <c r="B951" t="s">
        <v>1918</v>
      </c>
      <c r="C951" s="1">
        <v>45701</v>
      </c>
      <c r="D951" t="s">
        <v>11</v>
      </c>
      <c r="E951" t="s">
        <v>47</v>
      </c>
      <c r="G951">
        <v>184.02</v>
      </c>
      <c r="I951" t="s">
        <v>21</v>
      </c>
    </row>
    <row r="952" spans="1:9" x14ac:dyDescent="0.35">
      <c r="A952" t="s">
        <v>1919</v>
      </c>
      <c r="B952" t="s">
        <v>1920</v>
      </c>
      <c r="C952" s="1">
        <v>45075</v>
      </c>
      <c r="D952" t="s">
        <v>37</v>
      </c>
      <c r="E952" t="s">
        <v>24</v>
      </c>
      <c r="G952">
        <v>179.97</v>
      </c>
      <c r="I952" t="s">
        <v>31</v>
      </c>
    </row>
    <row r="953" spans="1:9" x14ac:dyDescent="0.35">
      <c r="A953" t="s">
        <v>1921</v>
      </c>
      <c r="B953" t="s">
        <v>1922</v>
      </c>
      <c r="C953" s="1">
        <v>45269</v>
      </c>
      <c r="D953" t="s">
        <v>34</v>
      </c>
      <c r="E953" t="s">
        <v>28</v>
      </c>
      <c r="G953">
        <v>55.92</v>
      </c>
      <c r="I953" t="s">
        <v>31</v>
      </c>
    </row>
    <row r="954" spans="1:9" x14ac:dyDescent="0.35">
      <c r="A954" t="s">
        <v>1923</v>
      </c>
      <c r="B954" t="s">
        <v>1924</v>
      </c>
      <c r="C954" s="1">
        <v>45540</v>
      </c>
      <c r="D954" t="s">
        <v>20</v>
      </c>
      <c r="E954" t="s">
        <v>28</v>
      </c>
      <c r="G954">
        <v>187.18</v>
      </c>
      <c r="I954" t="s">
        <v>38</v>
      </c>
    </row>
    <row r="955" spans="1:9" x14ac:dyDescent="0.35">
      <c r="A955" t="s">
        <v>1925</v>
      </c>
      <c r="B955" t="s">
        <v>1926</v>
      </c>
      <c r="C955" s="1">
        <v>45704</v>
      </c>
      <c r="D955" t="s">
        <v>11</v>
      </c>
      <c r="E955" t="s">
        <v>28</v>
      </c>
      <c r="F955">
        <v>7</v>
      </c>
      <c r="G955">
        <v>52.3</v>
      </c>
      <c r="H955">
        <v>366.1</v>
      </c>
      <c r="I955" t="s">
        <v>31</v>
      </c>
    </row>
    <row r="956" spans="1:9" x14ac:dyDescent="0.35">
      <c r="A956" t="s">
        <v>1927</v>
      </c>
      <c r="B956" t="s">
        <v>1928</v>
      </c>
      <c r="C956" s="1">
        <v>45116</v>
      </c>
      <c r="D956" t="s">
        <v>11</v>
      </c>
      <c r="E956" t="s">
        <v>16</v>
      </c>
      <c r="F956">
        <v>1</v>
      </c>
      <c r="G956">
        <v>79.150000000000006</v>
      </c>
      <c r="H956">
        <v>79.150000000000006</v>
      </c>
      <c r="I956" t="s">
        <v>17</v>
      </c>
    </row>
    <row r="957" spans="1:9" x14ac:dyDescent="0.35">
      <c r="A957" t="s">
        <v>1929</v>
      </c>
      <c r="B957" t="s">
        <v>1930</v>
      </c>
      <c r="C957" s="1">
        <v>45086</v>
      </c>
      <c r="D957" t="s">
        <v>34</v>
      </c>
      <c r="E957" t="s">
        <v>24</v>
      </c>
      <c r="F957">
        <v>4</v>
      </c>
      <c r="G957">
        <v>125.63</v>
      </c>
      <c r="H957">
        <v>502.52</v>
      </c>
      <c r="I957" t="s">
        <v>17</v>
      </c>
    </row>
    <row r="958" spans="1:9" x14ac:dyDescent="0.35">
      <c r="A958" t="s">
        <v>1931</v>
      </c>
      <c r="B958" t="s">
        <v>1932</v>
      </c>
      <c r="C958" s="1">
        <v>45412</v>
      </c>
      <c r="D958" t="s">
        <v>20</v>
      </c>
      <c r="E958" t="s">
        <v>28</v>
      </c>
      <c r="F958">
        <v>9</v>
      </c>
      <c r="G958">
        <v>24.19</v>
      </c>
      <c r="H958">
        <v>217.71</v>
      </c>
      <c r="I958" t="s">
        <v>13</v>
      </c>
    </row>
    <row r="959" spans="1:9" x14ac:dyDescent="0.35">
      <c r="A959" t="s">
        <v>1933</v>
      </c>
      <c r="B959" t="s">
        <v>1934</v>
      </c>
      <c r="C959" s="1">
        <v>45520</v>
      </c>
      <c r="D959" t="s">
        <v>20</v>
      </c>
      <c r="E959" t="s">
        <v>28</v>
      </c>
      <c r="G959">
        <v>118.72</v>
      </c>
      <c r="I959" t="s">
        <v>38</v>
      </c>
    </row>
    <row r="960" spans="1:9" x14ac:dyDescent="0.35">
      <c r="A960" t="s">
        <v>1935</v>
      </c>
      <c r="B960" t="s">
        <v>1936</v>
      </c>
      <c r="C960" s="1">
        <v>45519</v>
      </c>
      <c r="D960" t="s">
        <v>34</v>
      </c>
      <c r="E960" t="s">
        <v>28</v>
      </c>
      <c r="G960">
        <v>77.150000000000006</v>
      </c>
      <c r="I960" t="s">
        <v>38</v>
      </c>
    </row>
    <row r="961" spans="1:9" x14ac:dyDescent="0.35">
      <c r="A961" t="s">
        <v>1937</v>
      </c>
      <c r="B961" t="s">
        <v>1938</v>
      </c>
      <c r="C961" s="1">
        <v>45243</v>
      </c>
      <c r="D961" t="s">
        <v>37</v>
      </c>
      <c r="E961" t="s">
        <v>24</v>
      </c>
      <c r="G961">
        <v>182.75</v>
      </c>
      <c r="I961" t="s">
        <v>38</v>
      </c>
    </row>
    <row r="962" spans="1:9" x14ac:dyDescent="0.35">
      <c r="A962" t="s">
        <v>1939</v>
      </c>
      <c r="B962" t="s">
        <v>1940</v>
      </c>
      <c r="C962" s="1">
        <v>45636</v>
      </c>
      <c r="D962" t="s">
        <v>69</v>
      </c>
      <c r="E962" t="s">
        <v>12</v>
      </c>
      <c r="F962">
        <v>6</v>
      </c>
      <c r="G962">
        <v>76.62</v>
      </c>
      <c r="H962">
        <v>459.72</v>
      </c>
      <c r="I962" t="s">
        <v>21</v>
      </c>
    </row>
    <row r="963" spans="1:9" x14ac:dyDescent="0.35">
      <c r="A963" t="s">
        <v>1941</v>
      </c>
      <c r="B963" t="s">
        <v>1942</v>
      </c>
      <c r="C963" s="1">
        <v>45655</v>
      </c>
      <c r="D963" t="s">
        <v>34</v>
      </c>
      <c r="E963" t="s">
        <v>16</v>
      </c>
      <c r="G963">
        <v>63.27</v>
      </c>
      <c r="I963" t="s">
        <v>13</v>
      </c>
    </row>
    <row r="964" spans="1:9" x14ac:dyDescent="0.35">
      <c r="A964" t="s">
        <v>1943</v>
      </c>
      <c r="B964" t="s">
        <v>1944</v>
      </c>
      <c r="C964" s="1">
        <v>45617</v>
      </c>
      <c r="D964" t="s">
        <v>69</v>
      </c>
      <c r="E964" t="s">
        <v>47</v>
      </c>
      <c r="F964">
        <v>1</v>
      </c>
      <c r="G964">
        <v>58.6</v>
      </c>
      <c r="H964">
        <v>58.6</v>
      </c>
      <c r="I964" t="s">
        <v>21</v>
      </c>
    </row>
    <row r="965" spans="1:9" x14ac:dyDescent="0.35">
      <c r="A965" t="s">
        <v>1945</v>
      </c>
      <c r="B965" t="s">
        <v>1946</v>
      </c>
      <c r="C965" s="1">
        <v>45055</v>
      </c>
      <c r="D965" t="s">
        <v>37</v>
      </c>
      <c r="E965" t="s">
        <v>16</v>
      </c>
      <c r="F965">
        <v>7</v>
      </c>
      <c r="G965">
        <v>50.51</v>
      </c>
      <c r="H965">
        <v>353.57</v>
      </c>
      <c r="I965" t="s">
        <v>13</v>
      </c>
    </row>
    <row r="966" spans="1:9" x14ac:dyDescent="0.35">
      <c r="A966" t="s">
        <v>1947</v>
      </c>
      <c r="B966" t="s">
        <v>1948</v>
      </c>
      <c r="C966" s="1">
        <v>45424</v>
      </c>
      <c r="D966" t="s">
        <v>34</v>
      </c>
      <c r="E966" t="s">
        <v>28</v>
      </c>
      <c r="G966">
        <v>63.12</v>
      </c>
      <c r="I966" t="s">
        <v>31</v>
      </c>
    </row>
    <row r="967" spans="1:9" x14ac:dyDescent="0.35">
      <c r="A967" t="s">
        <v>1949</v>
      </c>
      <c r="B967" t="s">
        <v>1950</v>
      </c>
      <c r="C967" s="1">
        <v>45346</v>
      </c>
      <c r="D967" t="s">
        <v>69</v>
      </c>
      <c r="E967" t="s">
        <v>24</v>
      </c>
      <c r="G967">
        <v>166.38</v>
      </c>
      <c r="I967" t="s">
        <v>13</v>
      </c>
    </row>
    <row r="968" spans="1:9" x14ac:dyDescent="0.35">
      <c r="A968" t="s">
        <v>1951</v>
      </c>
      <c r="B968" t="s">
        <v>1952</v>
      </c>
      <c r="C968" s="1">
        <v>45758</v>
      </c>
      <c r="D968" t="s">
        <v>20</v>
      </c>
      <c r="E968" t="s">
        <v>47</v>
      </c>
      <c r="F968">
        <v>3</v>
      </c>
      <c r="G968">
        <v>163.03</v>
      </c>
      <c r="H968">
        <v>489.09</v>
      </c>
      <c r="I968" t="s">
        <v>13</v>
      </c>
    </row>
    <row r="969" spans="1:9" x14ac:dyDescent="0.35">
      <c r="A969" t="s">
        <v>1953</v>
      </c>
      <c r="B969" t="s">
        <v>1954</v>
      </c>
      <c r="C969" s="1">
        <v>45318</v>
      </c>
      <c r="D969" t="s">
        <v>34</v>
      </c>
      <c r="E969" t="s">
        <v>16</v>
      </c>
      <c r="G969">
        <v>126.37</v>
      </c>
      <c r="I969" t="s">
        <v>52</v>
      </c>
    </row>
    <row r="970" spans="1:9" x14ac:dyDescent="0.35">
      <c r="A970" t="s">
        <v>1955</v>
      </c>
      <c r="B970" t="s">
        <v>1956</v>
      </c>
      <c r="C970" s="1">
        <v>45339</v>
      </c>
      <c r="D970" t="s">
        <v>69</v>
      </c>
      <c r="E970" t="s">
        <v>24</v>
      </c>
      <c r="F970">
        <v>3</v>
      </c>
      <c r="G970">
        <v>42.81</v>
      </c>
      <c r="H970">
        <v>128.43</v>
      </c>
      <c r="I970" t="s">
        <v>52</v>
      </c>
    </row>
    <row r="971" spans="1:9" x14ac:dyDescent="0.35">
      <c r="A971" t="s">
        <v>1957</v>
      </c>
      <c r="B971" t="s">
        <v>1958</v>
      </c>
      <c r="C971" s="1">
        <v>45135</v>
      </c>
      <c r="D971" t="s">
        <v>34</v>
      </c>
      <c r="E971" t="s">
        <v>12</v>
      </c>
      <c r="F971">
        <v>1</v>
      </c>
      <c r="G971">
        <v>55.96</v>
      </c>
      <c r="H971">
        <v>55.96</v>
      </c>
      <c r="I971" t="s">
        <v>21</v>
      </c>
    </row>
    <row r="972" spans="1:9" x14ac:dyDescent="0.35">
      <c r="A972" t="s">
        <v>1959</v>
      </c>
      <c r="B972" t="s">
        <v>1960</v>
      </c>
      <c r="C972" s="1">
        <v>45634</v>
      </c>
      <c r="D972" t="s">
        <v>37</v>
      </c>
      <c r="E972" t="s">
        <v>24</v>
      </c>
      <c r="G972">
        <v>167.35</v>
      </c>
      <c r="I972" t="s">
        <v>31</v>
      </c>
    </row>
    <row r="973" spans="1:9" x14ac:dyDescent="0.35">
      <c r="A973" t="s">
        <v>1961</v>
      </c>
      <c r="B973" t="s">
        <v>1962</v>
      </c>
      <c r="C973" s="1">
        <v>45678</v>
      </c>
      <c r="D973" t="s">
        <v>20</v>
      </c>
      <c r="E973" t="s">
        <v>47</v>
      </c>
      <c r="G973">
        <v>32.619999999999997</v>
      </c>
      <c r="I973" t="s">
        <v>17</v>
      </c>
    </row>
    <row r="974" spans="1:9" x14ac:dyDescent="0.35">
      <c r="A974" t="s">
        <v>1963</v>
      </c>
      <c r="B974" t="s">
        <v>1964</v>
      </c>
      <c r="C974" s="1">
        <v>45264</v>
      </c>
      <c r="D974" t="s">
        <v>34</v>
      </c>
      <c r="E974" t="s">
        <v>16</v>
      </c>
      <c r="F974">
        <v>2</v>
      </c>
      <c r="G974">
        <v>43.06</v>
      </c>
      <c r="H974">
        <v>86.12</v>
      </c>
      <c r="I974" t="s">
        <v>52</v>
      </c>
    </row>
    <row r="975" spans="1:9" x14ac:dyDescent="0.35">
      <c r="A975" t="s">
        <v>1965</v>
      </c>
      <c r="B975" t="s">
        <v>1966</v>
      </c>
      <c r="C975" s="1">
        <v>45272</v>
      </c>
      <c r="D975" t="s">
        <v>20</v>
      </c>
      <c r="E975" t="s">
        <v>12</v>
      </c>
      <c r="F975">
        <v>1</v>
      </c>
      <c r="G975">
        <v>148.41</v>
      </c>
      <c r="H975">
        <v>148.41</v>
      </c>
      <c r="I975" t="s">
        <v>17</v>
      </c>
    </row>
    <row r="976" spans="1:9" x14ac:dyDescent="0.35">
      <c r="A976" t="s">
        <v>1967</v>
      </c>
      <c r="B976" t="s">
        <v>1968</v>
      </c>
      <c r="C976" s="1">
        <v>45472</v>
      </c>
      <c r="D976" t="s">
        <v>11</v>
      </c>
      <c r="E976" t="s">
        <v>16</v>
      </c>
      <c r="F976">
        <v>3</v>
      </c>
      <c r="G976">
        <v>191.45</v>
      </c>
      <c r="H976">
        <v>574.35</v>
      </c>
      <c r="I976" t="s">
        <v>31</v>
      </c>
    </row>
    <row r="977" spans="1:9" x14ac:dyDescent="0.35">
      <c r="A977" t="s">
        <v>1969</v>
      </c>
      <c r="B977" t="s">
        <v>1970</v>
      </c>
      <c r="C977" s="1">
        <v>45491</v>
      </c>
      <c r="D977" t="s">
        <v>34</v>
      </c>
      <c r="E977" t="s">
        <v>12</v>
      </c>
      <c r="F977">
        <v>2</v>
      </c>
      <c r="G977">
        <v>199.83</v>
      </c>
      <c r="H977">
        <v>399.66</v>
      </c>
      <c r="I977" t="s">
        <v>17</v>
      </c>
    </row>
    <row r="978" spans="1:9" x14ac:dyDescent="0.35">
      <c r="A978" t="s">
        <v>1971</v>
      </c>
      <c r="B978" t="s">
        <v>1972</v>
      </c>
      <c r="C978" s="1">
        <v>45110</v>
      </c>
      <c r="D978" t="s">
        <v>69</v>
      </c>
      <c r="E978" t="s">
        <v>12</v>
      </c>
      <c r="F978">
        <v>2</v>
      </c>
      <c r="G978">
        <v>115.95</v>
      </c>
      <c r="H978">
        <v>231.9</v>
      </c>
      <c r="I978" t="s">
        <v>17</v>
      </c>
    </row>
    <row r="979" spans="1:9" x14ac:dyDescent="0.35">
      <c r="A979" t="s">
        <v>1973</v>
      </c>
      <c r="B979" t="s">
        <v>1974</v>
      </c>
      <c r="C979" s="1">
        <v>45584</v>
      </c>
      <c r="D979" t="s">
        <v>34</v>
      </c>
      <c r="E979" t="s">
        <v>12</v>
      </c>
      <c r="F979">
        <v>6</v>
      </c>
      <c r="G979">
        <v>23.76</v>
      </c>
      <c r="H979">
        <v>142.56</v>
      </c>
      <c r="I979" t="s">
        <v>17</v>
      </c>
    </row>
    <row r="980" spans="1:9" x14ac:dyDescent="0.35">
      <c r="A980" t="s">
        <v>1975</v>
      </c>
      <c r="B980" t="s">
        <v>1976</v>
      </c>
      <c r="C980" s="1">
        <v>45197</v>
      </c>
      <c r="D980" t="s">
        <v>11</v>
      </c>
      <c r="E980" t="s">
        <v>28</v>
      </c>
      <c r="F980">
        <v>1</v>
      </c>
      <c r="G980">
        <v>60.14</v>
      </c>
      <c r="H980">
        <v>60.14</v>
      </c>
      <c r="I980" t="s">
        <v>38</v>
      </c>
    </row>
    <row r="981" spans="1:9" x14ac:dyDescent="0.35">
      <c r="A981" t="s">
        <v>1977</v>
      </c>
      <c r="B981" t="s">
        <v>1978</v>
      </c>
      <c r="C981" s="1">
        <v>45618</v>
      </c>
      <c r="D981" t="s">
        <v>69</v>
      </c>
      <c r="E981" t="s">
        <v>16</v>
      </c>
      <c r="G981">
        <v>193.03</v>
      </c>
      <c r="I981" t="s">
        <v>31</v>
      </c>
    </row>
    <row r="982" spans="1:9" x14ac:dyDescent="0.35">
      <c r="A982" t="s">
        <v>1979</v>
      </c>
      <c r="B982" t="s">
        <v>1980</v>
      </c>
      <c r="C982" s="1">
        <v>45136</v>
      </c>
      <c r="D982" t="s">
        <v>34</v>
      </c>
      <c r="E982" t="s">
        <v>16</v>
      </c>
      <c r="G982">
        <v>110.6</v>
      </c>
      <c r="I982" t="s">
        <v>21</v>
      </c>
    </row>
    <row r="983" spans="1:9" x14ac:dyDescent="0.35">
      <c r="A983" t="s">
        <v>1981</v>
      </c>
      <c r="B983" t="s">
        <v>1982</v>
      </c>
      <c r="C983" s="1">
        <v>45741</v>
      </c>
      <c r="D983" t="s">
        <v>11</v>
      </c>
      <c r="E983" t="s">
        <v>24</v>
      </c>
      <c r="G983">
        <v>40.58</v>
      </c>
      <c r="I983" t="s">
        <v>13</v>
      </c>
    </row>
    <row r="984" spans="1:9" x14ac:dyDescent="0.35">
      <c r="A984" t="s">
        <v>1983</v>
      </c>
      <c r="B984" t="s">
        <v>1984</v>
      </c>
      <c r="C984" s="1">
        <v>45722</v>
      </c>
      <c r="D984" t="s">
        <v>34</v>
      </c>
      <c r="E984" t="s">
        <v>12</v>
      </c>
      <c r="F984">
        <v>4</v>
      </c>
      <c r="G984">
        <v>47.77</v>
      </c>
      <c r="H984">
        <v>191.08</v>
      </c>
      <c r="I984" t="s">
        <v>21</v>
      </c>
    </row>
    <row r="985" spans="1:9" x14ac:dyDescent="0.35">
      <c r="A985" t="s">
        <v>1985</v>
      </c>
      <c r="B985" t="s">
        <v>1986</v>
      </c>
      <c r="C985" s="1">
        <v>45435</v>
      </c>
      <c r="D985" t="s">
        <v>69</v>
      </c>
      <c r="E985" t="s">
        <v>12</v>
      </c>
      <c r="F985">
        <v>1</v>
      </c>
      <c r="G985">
        <v>137</v>
      </c>
      <c r="H985">
        <v>137</v>
      </c>
      <c r="I985" t="s">
        <v>21</v>
      </c>
    </row>
    <row r="986" spans="1:9" x14ac:dyDescent="0.35">
      <c r="A986" t="s">
        <v>1987</v>
      </c>
      <c r="B986" t="s">
        <v>1988</v>
      </c>
      <c r="C986" s="1">
        <v>45515</v>
      </c>
      <c r="D986" t="s">
        <v>20</v>
      </c>
      <c r="E986" t="s">
        <v>24</v>
      </c>
      <c r="F986">
        <v>8</v>
      </c>
      <c r="G986">
        <v>43.32</v>
      </c>
      <c r="H986">
        <v>346.56</v>
      </c>
      <c r="I986" t="s">
        <v>31</v>
      </c>
    </row>
    <row r="987" spans="1:9" x14ac:dyDescent="0.35">
      <c r="A987" t="s">
        <v>1989</v>
      </c>
      <c r="B987" t="s">
        <v>1990</v>
      </c>
      <c r="C987" s="1">
        <v>45622</v>
      </c>
      <c r="D987" t="s">
        <v>37</v>
      </c>
      <c r="E987" t="s">
        <v>12</v>
      </c>
      <c r="F987">
        <v>7</v>
      </c>
      <c r="G987">
        <v>174.83</v>
      </c>
      <c r="H987">
        <v>1223.81</v>
      </c>
      <c r="I987" t="s">
        <v>31</v>
      </c>
    </row>
    <row r="988" spans="1:9" x14ac:dyDescent="0.35">
      <c r="A988" t="s">
        <v>1991</v>
      </c>
      <c r="B988" t="s">
        <v>1992</v>
      </c>
      <c r="C988" s="1">
        <v>45194</v>
      </c>
      <c r="D988" t="s">
        <v>37</v>
      </c>
      <c r="E988" t="s">
        <v>12</v>
      </c>
      <c r="G988">
        <v>73.040000000000006</v>
      </c>
      <c r="I988" t="s">
        <v>13</v>
      </c>
    </row>
    <row r="989" spans="1:9" x14ac:dyDescent="0.35">
      <c r="A989" t="s">
        <v>1993</v>
      </c>
      <c r="B989" t="s">
        <v>1994</v>
      </c>
      <c r="C989" s="1">
        <v>45759</v>
      </c>
      <c r="D989" t="s">
        <v>20</v>
      </c>
      <c r="E989" t="s">
        <v>28</v>
      </c>
      <c r="F989">
        <v>3</v>
      </c>
      <c r="G989">
        <v>121.74</v>
      </c>
      <c r="H989">
        <v>365.22</v>
      </c>
      <c r="I989" t="s">
        <v>21</v>
      </c>
    </row>
    <row r="990" spans="1:9" x14ac:dyDescent="0.35">
      <c r="A990" t="s">
        <v>1995</v>
      </c>
      <c r="B990" t="s">
        <v>1996</v>
      </c>
      <c r="C990" s="1">
        <v>45552</v>
      </c>
      <c r="D990" t="s">
        <v>27</v>
      </c>
      <c r="E990" t="s">
        <v>12</v>
      </c>
      <c r="G990">
        <v>90.09</v>
      </c>
      <c r="I990" t="s">
        <v>21</v>
      </c>
    </row>
    <row r="991" spans="1:9" x14ac:dyDescent="0.35">
      <c r="A991" t="s">
        <v>1997</v>
      </c>
      <c r="B991" t="s">
        <v>1998</v>
      </c>
      <c r="C991" s="1">
        <v>45260</v>
      </c>
      <c r="D991" t="s">
        <v>37</v>
      </c>
      <c r="E991" t="s">
        <v>12</v>
      </c>
      <c r="F991">
        <v>2</v>
      </c>
      <c r="G991">
        <v>121.51</v>
      </c>
      <c r="H991">
        <v>243.02</v>
      </c>
      <c r="I991" t="s">
        <v>38</v>
      </c>
    </row>
    <row r="992" spans="1:9" x14ac:dyDescent="0.35">
      <c r="A992" t="s">
        <v>1999</v>
      </c>
      <c r="B992" t="s">
        <v>2000</v>
      </c>
      <c r="C992" s="1">
        <v>45609</v>
      </c>
      <c r="D992" t="s">
        <v>11</v>
      </c>
      <c r="E992" t="s">
        <v>16</v>
      </c>
      <c r="F992">
        <v>1</v>
      </c>
      <c r="G992">
        <v>50.41</v>
      </c>
      <c r="H992">
        <v>50.41</v>
      </c>
      <c r="I992" t="s">
        <v>52</v>
      </c>
    </row>
    <row r="993" spans="1:9" x14ac:dyDescent="0.35">
      <c r="A993" t="s">
        <v>2001</v>
      </c>
      <c r="B993" t="s">
        <v>2002</v>
      </c>
      <c r="C993" s="1">
        <v>45560</v>
      </c>
      <c r="D993" t="s">
        <v>27</v>
      </c>
      <c r="E993" t="s">
        <v>28</v>
      </c>
      <c r="G993">
        <v>174.21</v>
      </c>
      <c r="I993" t="s">
        <v>21</v>
      </c>
    </row>
    <row r="994" spans="1:9" x14ac:dyDescent="0.35">
      <c r="A994" t="s">
        <v>2003</v>
      </c>
      <c r="B994" t="s">
        <v>2004</v>
      </c>
      <c r="C994" s="1">
        <v>45093</v>
      </c>
      <c r="D994" t="s">
        <v>37</v>
      </c>
      <c r="E994" t="s">
        <v>24</v>
      </c>
      <c r="F994">
        <v>7</v>
      </c>
      <c r="G994">
        <v>189.85</v>
      </c>
      <c r="H994">
        <v>1328.95</v>
      </c>
      <c r="I994" t="s">
        <v>13</v>
      </c>
    </row>
    <row r="995" spans="1:9" x14ac:dyDescent="0.35">
      <c r="A995" t="s">
        <v>2005</v>
      </c>
      <c r="B995" t="s">
        <v>2006</v>
      </c>
      <c r="C995" s="1">
        <v>45203</v>
      </c>
      <c r="D995" t="s">
        <v>20</v>
      </c>
      <c r="E995" t="s">
        <v>28</v>
      </c>
      <c r="F995">
        <v>2</v>
      </c>
      <c r="G995">
        <v>47.51</v>
      </c>
      <c r="H995">
        <v>95.02</v>
      </c>
      <c r="I995" t="s">
        <v>21</v>
      </c>
    </row>
    <row r="996" spans="1:9" x14ac:dyDescent="0.35">
      <c r="A996" t="s">
        <v>2007</v>
      </c>
      <c r="B996" t="s">
        <v>2008</v>
      </c>
      <c r="C996" s="1">
        <v>45493</v>
      </c>
      <c r="D996" t="s">
        <v>37</v>
      </c>
      <c r="E996" t="s">
        <v>16</v>
      </c>
      <c r="G996">
        <v>43.47</v>
      </c>
      <c r="I996" t="s">
        <v>13</v>
      </c>
    </row>
    <row r="997" spans="1:9" x14ac:dyDescent="0.35">
      <c r="A997" t="s">
        <v>2009</v>
      </c>
      <c r="B997" t="s">
        <v>2010</v>
      </c>
      <c r="C997" s="1">
        <v>45128</v>
      </c>
      <c r="D997" t="s">
        <v>69</v>
      </c>
      <c r="E997" t="s">
        <v>28</v>
      </c>
      <c r="F997">
        <v>8</v>
      </c>
      <c r="G997">
        <v>140.26</v>
      </c>
      <c r="H997">
        <v>1122.08</v>
      </c>
      <c r="I997" t="s">
        <v>21</v>
      </c>
    </row>
    <row r="998" spans="1:9" x14ac:dyDescent="0.35">
      <c r="A998" t="s">
        <v>2011</v>
      </c>
      <c r="B998" t="s">
        <v>2012</v>
      </c>
      <c r="C998" s="1">
        <v>45734</v>
      </c>
      <c r="D998" t="s">
        <v>37</v>
      </c>
      <c r="E998" t="s">
        <v>24</v>
      </c>
      <c r="F998">
        <v>1</v>
      </c>
      <c r="G998">
        <v>126.51</v>
      </c>
      <c r="H998">
        <v>126.51</v>
      </c>
      <c r="I998" t="s">
        <v>38</v>
      </c>
    </row>
    <row r="999" spans="1:9" x14ac:dyDescent="0.35">
      <c r="A999" t="s">
        <v>2013</v>
      </c>
      <c r="B999" t="s">
        <v>2014</v>
      </c>
      <c r="C999" s="1">
        <v>45741</v>
      </c>
      <c r="D999" t="s">
        <v>69</v>
      </c>
      <c r="E999" t="s">
        <v>24</v>
      </c>
      <c r="G999">
        <v>178.23</v>
      </c>
      <c r="I999" t="s">
        <v>31</v>
      </c>
    </row>
    <row r="1000" spans="1:9" x14ac:dyDescent="0.35">
      <c r="A1000" t="s">
        <v>2015</v>
      </c>
      <c r="B1000" t="s">
        <v>2016</v>
      </c>
      <c r="C1000" s="1">
        <v>45521</v>
      </c>
      <c r="D1000" t="s">
        <v>37</v>
      </c>
      <c r="E1000" t="s">
        <v>47</v>
      </c>
      <c r="G1000">
        <v>175.2</v>
      </c>
      <c r="I1000" t="s">
        <v>17</v>
      </c>
    </row>
    <row r="1001" spans="1:9" x14ac:dyDescent="0.35">
      <c r="A1001" t="s">
        <v>2017</v>
      </c>
      <c r="B1001" t="s">
        <v>1950</v>
      </c>
      <c r="C1001" s="1">
        <v>45487</v>
      </c>
      <c r="D1001" t="s">
        <v>27</v>
      </c>
      <c r="E1001" t="s">
        <v>12</v>
      </c>
      <c r="G1001">
        <v>93.83</v>
      </c>
      <c r="I10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1FB5-88FF-44A8-9D97-3F098174D8C1}">
  <dimension ref="A1:Y1001"/>
  <sheetViews>
    <sheetView tabSelected="1" topLeftCell="B1" zoomScale="50" workbookViewId="0">
      <selection activeCell="H3" sqref="H3"/>
    </sheetView>
  </sheetViews>
  <sheetFormatPr defaultRowHeight="14.5" x14ac:dyDescent="0.35"/>
  <cols>
    <col min="1" max="1" width="35.81640625" style="2" bestFit="1" customWidth="1"/>
    <col min="2" max="2" width="22" style="2" bestFit="1" customWidth="1"/>
    <col min="3" max="3" width="12" style="2" bestFit="1" customWidth="1"/>
    <col min="4" max="4" width="8.81640625" style="2" bestFit="1" customWidth="1"/>
    <col min="5" max="5" width="26.7265625" style="2" customWidth="1"/>
    <col min="6" max="6" width="17" style="2" customWidth="1"/>
    <col min="7" max="7" width="15.26953125" style="2" customWidth="1"/>
    <col min="8" max="8" width="10.36328125" style="2" bestFit="1" customWidth="1"/>
    <col min="9" max="9" width="20.453125" style="2" customWidth="1"/>
    <col min="10" max="10" width="23.6328125" style="2" customWidth="1"/>
    <col min="11" max="11" width="23.08984375" style="4" customWidth="1"/>
    <col min="12" max="14" width="8.7265625" style="2"/>
    <col min="15" max="15" width="19.453125" style="2" customWidth="1"/>
    <col min="16" max="16" width="22.453125" style="2" customWidth="1"/>
    <col min="17" max="18" width="8.7265625" style="2"/>
    <col min="19" max="19" width="21.7265625" style="2" bestFit="1" customWidth="1"/>
    <col min="20" max="20" width="23" style="2" bestFit="1" customWidth="1"/>
    <col min="21" max="21" width="24.26953125" style="2" customWidth="1"/>
    <col min="22" max="22" width="20.453125" style="2" customWidth="1"/>
    <col min="23" max="23" width="20.6328125" style="2" customWidth="1"/>
    <col min="24" max="24" width="17.36328125" style="2" customWidth="1"/>
    <col min="25" max="25" width="22.26953125" style="2" customWidth="1"/>
    <col min="26" max="16384" width="8.7265625" style="2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2022</v>
      </c>
      <c r="K1" s="4" t="s">
        <v>2023</v>
      </c>
      <c r="O1" s="4" t="s">
        <v>2018</v>
      </c>
      <c r="P1" s="4" t="s">
        <v>2019</v>
      </c>
      <c r="R1" s="2" t="s">
        <v>2020</v>
      </c>
      <c r="U1" s="2" t="s">
        <v>2021</v>
      </c>
      <c r="W1" s="2" t="str">
        <f>TRIM(D:D)</f>
        <v>Region</v>
      </c>
    </row>
    <row r="2" spans="1:23" x14ac:dyDescent="0.35">
      <c r="A2" s="2" t="s">
        <v>9</v>
      </c>
      <c r="B2" s="2" t="s">
        <v>10</v>
      </c>
      <c r="C2" s="3">
        <v>45386</v>
      </c>
      <c r="D2" s="2" t="s">
        <v>11</v>
      </c>
      <c r="E2" s="2" t="s">
        <v>12</v>
      </c>
      <c r="G2" s="2">
        <v>144.32</v>
      </c>
      <c r="I2" s="2" t="s">
        <v>13</v>
      </c>
      <c r="J2" s="2" t="str">
        <f t="shared" ref="J2:J65" si="0">TEXT(C2,"mmm")</f>
        <v>Apr</v>
      </c>
      <c r="K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" s="2" t="b" cm="1">
        <f t="array" ref="O2:O1001">ISBLANK(Lab2_Dataset[Quantity])</f>
        <v>1</v>
      </c>
      <c r="P2" s="2">
        <f>IF(O3=TRUE,"",F3*G3)</f>
        <v>404.52</v>
      </c>
    </row>
    <row r="3" spans="1:23" x14ac:dyDescent="0.35">
      <c r="A3" s="2" t="s">
        <v>14</v>
      </c>
      <c r="B3" s="2" t="s">
        <v>15</v>
      </c>
      <c r="C3" s="3">
        <v>45751</v>
      </c>
      <c r="D3" s="2" t="s">
        <v>11</v>
      </c>
      <c r="E3" s="2" t="s">
        <v>16</v>
      </c>
      <c r="F3" s="2">
        <v>4</v>
      </c>
      <c r="G3" s="2">
        <v>101.13</v>
      </c>
      <c r="H3" s="2">
        <v>404.52</v>
      </c>
      <c r="I3" s="2" t="s">
        <v>17</v>
      </c>
      <c r="J3" s="2" t="str">
        <f t="shared" si="0"/>
        <v>Apr</v>
      </c>
      <c r="K3" s="4">
        <f>IF(AND(ISNUMBER(Lab2_Dataset[[#This Row],[Revenue]]), ISNUMBER(Lab2_Dataset[[#This Row],[Quantity]]), Lab2_Dataset[[#This Row],[Quantity]]&lt;&gt;0), Lab2_Dataset[[#This Row],[Revenue]]/Lab2_Dataset[[#This Row],[Quantity]], "")</f>
        <v>101.13</v>
      </c>
      <c r="O3" s="2" t="b">
        <v>0</v>
      </c>
      <c r="P3" s="2" t="str">
        <f t="shared" ref="P3:P66" si="1">IF(O4=TRUE,"",F4*G4)</f>
        <v/>
      </c>
    </row>
    <row r="4" spans="1:23" x14ac:dyDescent="0.35">
      <c r="A4" s="2" t="s">
        <v>18</v>
      </c>
      <c r="B4" s="2" t="s">
        <v>19</v>
      </c>
      <c r="C4" s="3">
        <v>45640</v>
      </c>
      <c r="D4" s="2" t="s">
        <v>20</v>
      </c>
      <c r="E4" s="2" t="s">
        <v>16</v>
      </c>
      <c r="G4" s="2">
        <v>95.12</v>
      </c>
      <c r="I4" s="2" t="s">
        <v>21</v>
      </c>
      <c r="J4" s="2" t="str">
        <f t="shared" si="0"/>
        <v>Dec</v>
      </c>
      <c r="K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" s="2" t="b">
        <v>1</v>
      </c>
      <c r="P4" s="2" t="str">
        <f t="shared" si="1"/>
        <v/>
      </c>
    </row>
    <row r="5" spans="1:23" x14ac:dyDescent="0.35">
      <c r="A5" s="2" t="s">
        <v>22</v>
      </c>
      <c r="B5" s="2" t="s">
        <v>23</v>
      </c>
      <c r="C5" s="3">
        <v>45388</v>
      </c>
      <c r="D5" s="2" t="s">
        <v>20</v>
      </c>
      <c r="E5" s="2" t="s">
        <v>24</v>
      </c>
      <c r="G5" s="2">
        <v>46.21</v>
      </c>
      <c r="I5" s="2" t="s">
        <v>13</v>
      </c>
      <c r="J5" s="2" t="str">
        <f t="shared" si="0"/>
        <v>Apr</v>
      </c>
      <c r="K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" s="2" t="b">
        <v>1</v>
      </c>
      <c r="P5" s="2">
        <f t="shared" si="1"/>
        <v>334.59999999999997</v>
      </c>
    </row>
    <row r="6" spans="1:23" x14ac:dyDescent="0.35">
      <c r="A6" s="2" t="s">
        <v>25</v>
      </c>
      <c r="B6" s="2" t="s">
        <v>26</v>
      </c>
      <c r="C6" s="3">
        <v>45392</v>
      </c>
      <c r="D6" s="2" t="s">
        <v>27</v>
      </c>
      <c r="E6" s="2" t="s">
        <v>28</v>
      </c>
      <c r="F6" s="2">
        <v>7</v>
      </c>
      <c r="G6" s="2">
        <v>47.8</v>
      </c>
      <c r="H6" s="2">
        <v>334.6</v>
      </c>
      <c r="I6" s="2" t="s">
        <v>17</v>
      </c>
      <c r="J6" s="2" t="str">
        <f t="shared" si="0"/>
        <v>Apr</v>
      </c>
      <c r="K6" s="4">
        <f>IF(AND(ISNUMBER(Lab2_Dataset[[#This Row],[Revenue]]), ISNUMBER(Lab2_Dataset[[#This Row],[Quantity]]), Lab2_Dataset[[#This Row],[Quantity]]&lt;&gt;0), Lab2_Dataset[[#This Row],[Revenue]]/Lab2_Dataset[[#This Row],[Quantity]], "")</f>
        <v>47.800000000000004</v>
      </c>
      <c r="O6" s="2" t="b">
        <v>0</v>
      </c>
      <c r="P6" s="2" t="str">
        <f t="shared" si="1"/>
        <v/>
      </c>
    </row>
    <row r="7" spans="1:23" x14ac:dyDescent="0.35">
      <c r="A7" s="2" t="s">
        <v>29</v>
      </c>
      <c r="B7" s="2" t="s">
        <v>30</v>
      </c>
      <c r="C7" s="3">
        <v>45681</v>
      </c>
      <c r="D7" s="2" t="s">
        <v>11</v>
      </c>
      <c r="E7" s="2" t="s">
        <v>24</v>
      </c>
      <c r="G7" s="2">
        <v>100.84</v>
      </c>
      <c r="I7" s="2" t="s">
        <v>31</v>
      </c>
      <c r="J7" s="2" t="str">
        <f t="shared" si="0"/>
        <v>Jan</v>
      </c>
      <c r="K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" s="2" t="b">
        <v>1</v>
      </c>
      <c r="P7" s="2" t="str">
        <f t="shared" si="1"/>
        <v/>
      </c>
    </row>
    <row r="8" spans="1:23" x14ac:dyDescent="0.35">
      <c r="A8" s="2" t="s">
        <v>32</v>
      </c>
      <c r="B8" s="2" t="s">
        <v>33</v>
      </c>
      <c r="C8" s="3">
        <v>45050</v>
      </c>
      <c r="D8" s="2" t="s">
        <v>34</v>
      </c>
      <c r="E8" s="2" t="s">
        <v>16</v>
      </c>
      <c r="G8" s="2">
        <v>16.34</v>
      </c>
      <c r="I8" s="2" t="s">
        <v>31</v>
      </c>
      <c r="J8" s="2" t="str">
        <f t="shared" si="0"/>
        <v>May</v>
      </c>
      <c r="K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" s="2" t="b">
        <v>1</v>
      </c>
      <c r="P8" s="2">
        <f t="shared" si="1"/>
        <v>273.2</v>
      </c>
      <c r="T8" s="5" t="s">
        <v>3</v>
      </c>
      <c r="U8" s="2" t="s">
        <v>2025</v>
      </c>
    </row>
    <row r="9" spans="1:23" x14ac:dyDescent="0.35">
      <c r="A9" s="2" t="s">
        <v>35</v>
      </c>
      <c r="B9" s="2" t="s">
        <v>36</v>
      </c>
      <c r="C9" s="3">
        <v>45510</v>
      </c>
      <c r="D9" s="2" t="s">
        <v>37</v>
      </c>
      <c r="E9" s="2" t="s">
        <v>16</v>
      </c>
      <c r="F9" s="2">
        <v>8</v>
      </c>
      <c r="G9" s="2">
        <v>34.15</v>
      </c>
      <c r="H9" s="2">
        <v>273.2</v>
      </c>
      <c r="I9" s="2" t="s">
        <v>38</v>
      </c>
      <c r="J9" s="2" t="str">
        <f t="shared" si="0"/>
        <v>Aug</v>
      </c>
      <c r="K9" s="4">
        <f>IF(AND(ISNUMBER(Lab2_Dataset[[#This Row],[Revenue]]), ISNUMBER(Lab2_Dataset[[#This Row],[Quantity]]), Lab2_Dataset[[#This Row],[Quantity]]&lt;&gt;0), Lab2_Dataset[[#This Row],[Revenue]]/Lab2_Dataset[[#This Row],[Quantity]], "")</f>
        <v>34.15</v>
      </c>
      <c r="O9" s="2" t="b">
        <v>0</v>
      </c>
      <c r="P9" s="2">
        <f t="shared" si="1"/>
        <v>994.35</v>
      </c>
      <c r="T9" s="2" t="s">
        <v>20</v>
      </c>
      <c r="U9" s="7">
        <v>35735.089999999997</v>
      </c>
    </row>
    <row r="10" spans="1:23" x14ac:dyDescent="0.35">
      <c r="A10" s="2" t="s">
        <v>39</v>
      </c>
      <c r="B10" s="2" t="s">
        <v>40</v>
      </c>
      <c r="C10" s="3">
        <v>45438</v>
      </c>
      <c r="D10" s="2" t="s">
        <v>20</v>
      </c>
      <c r="E10" s="2" t="s">
        <v>24</v>
      </c>
      <c r="F10" s="2">
        <v>5</v>
      </c>
      <c r="G10" s="2">
        <v>198.87</v>
      </c>
      <c r="H10" s="2">
        <v>994.35</v>
      </c>
      <c r="I10" s="2" t="s">
        <v>38</v>
      </c>
      <c r="J10" s="2" t="str">
        <f t="shared" si="0"/>
        <v>May</v>
      </c>
      <c r="K10" s="4">
        <f>IF(AND(ISNUMBER(Lab2_Dataset[[#This Row],[Revenue]]), ISNUMBER(Lab2_Dataset[[#This Row],[Quantity]]), Lab2_Dataset[[#This Row],[Quantity]]&lt;&gt;0), Lab2_Dataset[[#This Row],[Revenue]]/Lab2_Dataset[[#This Row],[Quantity]], "")</f>
        <v>198.87</v>
      </c>
      <c r="O10" s="2" t="b">
        <v>0</v>
      </c>
      <c r="P10" s="2" t="str">
        <f t="shared" si="1"/>
        <v/>
      </c>
      <c r="T10" s="2" t="s">
        <v>11</v>
      </c>
      <c r="U10" s="7">
        <v>83816.380000000034</v>
      </c>
    </row>
    <row r="11" spans="1:23" x14ac:dyDescent="0.35">
      <c r="A11" s="2" t="s">
        <v>41</v>
      </c>
      <c r="B11" s="2" t="s">
        <v>42</v>
      </c>
      <c r="C11" s="3">
        <v>45176</v>
      </c>
      <c r="D11" s="2" t="s">
        <v>37</v>
      </c>
      <c r="E11" s="2" t="s">
        <v>24</v>
      </c>
      <c r="G11" s="2">
        <v>154.33000000000001</v>
      </c>
      <c r="I11" s="2" t="s">
        <v>38</v>
      </c>
      <c r="J11" s="2" t="str">
        <f t="shared" si="0"/>
        <v>Sep</v>
      </c>
      <c r="K1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" s="2" t="b">
        <v>1</v>
      </c>
      <c r="P11" s="2">
        <f t="shared" si="1"/>
        <v>1213.28</v>
      </c>
      <c r="T11" s="2" t="s">
        <v>69</v>
      </c>
      <c r="U11" s="7">
        <v>37765.950000000004</v>
      </c>
    </row>
    <row r="12" spans="1:23" x14ac:dyDescent="0.35">
      <c r="A12" s="2" t="s">
        <v>43</v>
      </c>
      <c r="B12" s="2" t="s">
        <v>44</v>
      </c>
      <c r="C12" s="3">
        <v>45263</v>
      </c>
      <c r="D12" s="2" t="s">
        <v>20</v>
      </c>
      <c r="E12" s="2" t="s">
        <v>28</v>
      </c>
      <c r="F12" s="2">
        <v>8</v>
      </c>
      <c r="G12" s="2">
        <v>151.66</v>
      </c>
      <c r="H12" s="2">
        <v>1213.28</v>
      </c>
      <c r="I12" s="2" t="s">
        <v>21</v>
      </c>
      <c r="J12" s="2" t="str">
        <f t="shared" si="0"/>
        <v>Dec</v>
      </c>
      <c r="K12" s="4">
        <f>IF(AND(ISNUMBER(Lab2_Dataset[[#This Row],[Revenue]]), ISNUMBER(Lab2_Dataset[[#This Row],[Quantity]]), Lab2_Dataset[[#This Row],[Quantity]]&lt;&gt;0), Lab2_Dataset[[#This Row],[Revenue]]/Lab2_Dataset[[#This Row],[Quantity]], "")</f>
        <v>151.66</v>
      </c>
      <c r="O12" s="2" t="b">
        <v>0</v>
      </c>
      <c r="P12" s="2" t="str">
        <f t="shared" si="1"/>
        <v/>
      </c>
      <c r="T12" s="2" t="s">
        <v>27</v>
      </c>
      <c r="U12" s="7">
        <v>42140.740000000005</v>
      </c>
    </row>
    <row r="13" spans="1:23" x14ac:dyDescent="0.35">
      <c r="A13" s="2" t="s">
        <v>45</v>
      </c>
      <c r="B13" s="2" t="s">
        <v>46</v>
      </c>
      <c r="C13" s="3">
        <v>45568</v>
      </c>
      <c r="D13" s="2" t="s">
        <v>27</v>
      </c>
      <c r="E13" s="2" t="s">
        <v>47</v>
      </c>
      <c r="G13" s="2">
        <v>12.19</v>
      </c>
      <c r="I13" s="2" t="s">
        <v>31</v>
      </c>
      <c r="J13" s="2" t="str">
        <f t="shared" si="0"/>
        <v>Oct</v>
      </c>
      <c r="K1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3" s="2" t="b">
        <v>1</v>
      </c>
      <c r="P13" s="2">
        <f t="shared" si="1"/>
        <v>376.68</v>
      </c>
      <c r="T13" s="2" t="s">
        <v>37</v>
      </c>
      <c r="U13" s="7">
        <v>51054.999999999993</v>
      </c>
    </row>
    <row r="14" spans="1:23" x14ac:dyDescent="0.35">
      <c r="A14" s="2" t="s">
        <v>48</v>
      </c>
      <c r="B14" s="2" t="s">
        <v>49</v>
      </c>
      <c r="C14" s="3">
        <v>45232</v>
      </c>
      <c r="D14" s="2" t="s">
        <v>27</v>
      </c>
      <c r="E14" s="2" t="s">
        <v>12</v>
      </c>
      <c r="F14" s="2">
        <v>3</v>
      </c>
      <c r="G14" s="2">
        <v>125.56</v>
      </c>
      <c r="H14" s="2">
        <v>376.68</v>
      </c>
      <c r="I14" s="2" t="s">
        <v>13</v>
      </c>
      <c r="J14" s="2" t="str">
        <f t="shared" si="0"/>
        <v>Nov</v>
      </c>
      <c r="K14" s="4">
        <f>IF(AND(ISNUMBER(Lab2_Dataset[[#This Row],[Revenue]]), ISNUMBER(Lab2_Dataset[[#This Row],[Quantity]]), Lab2_Dataset[[#This Row],[Quantity]]&lt;&gt;0), Lab2_Dataset[[#This Row],[Revenue]]/Lab2_Dataset[[#This Row],[Quantity]], "")</f>
        <v>125.56</v>
      </c>
      <c r="O14" s="2" t="b">
        <v>0</v>
      </c>
      <c r="P14" s="2" t="str">
        <f t="shared" si="1"/>
        <v/>
      </c>
      <c r="T14" s="2" t="s">
        <v>2024</v>
      </c>
      <c r="U14" s="7">
        <v>250513.16000000003</v>
      </c>
    </row>
    <row r="15" spans="1:23" x14ac:dyDescent="0.35">
      <c r="A15" s="2" t="s">
        <v>50</v>
      </c>
      <c r="B15" s="2" t="s">
        <v>51</v>
      </c>
      <c r="C15" s="3">
        <v>45772</v>
      </c>
      <c r="D15" s="2" t="s">
        <v>20</v>
      </c>
      <c r="E15" s="2" t="s">
        <v>24</v>
      </c>
      <c r="G15" s="2">
        <v>59.07</v>
      </c>
      <c r="I15" s="2" t="s">
        <v>52</v>
      </c>
      <c r="J15" s="2" t="str">
        <f t="shared" si="0"/>
        <v>Apr</v>
      </c>
      <c r="K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" s="2" t="b">
        <v>1</v>
      </c>
      <c r="P15" s="2" t="str">
        <f t="shared" si="1"/>
        <v/>
      </c>
    </row>
    <row r="16" spans="1:23" x14ac:dyDescent="0.35">
      <c r="A16" s="2" t="s">
        <v>53</v>
      </c>
      <c r="B16" s="2" t="s">
        <v>54</v>
      </c>
      <c r="C16" s="3">
        <v>45220</v>
      </c>
      <c r="D16" s="2" t="s">
        <v>37</v>
      </c>
      <c r="E16" s="2" t="s">
        <v>16</v>
      </c>
      <c r="G16" s="2">
        <v>105.73</v>
      </c>
      <c r="I16" s="2" t="s">
        <v>31</v>
      </c>
      <c r="J16" s="2" t="str">
        <f t="shared" si="0"/>
        <v>Oct</v>
      </c>
      <c r="K1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" s="2" t="b">
        <v>1</v>
      </c>
      <c r="P16" s="2" t="str">
        <f t="shared" si="1"/>
        <v/>
      </c>
    </row>
    <row r="17" spans="1:25" x14ac:dyDescent="0.35">
      <c r="A17" s="2" t="s">
        <v>55</v>
      </c>
      <c r="B17" s="2" t="s">
        <v>56</v>
      </c>
      <c r="C17" s="3">
        <v>45409</v>
      </c>
      <c r="D17" s="2" t="s">
        <v>20</v>
      </c>
      <c r="E17" s="2" t="s">
        <v>28</v>
      </c>
      <c r="G17" s="2">
        <v>13.24</v>
      </c>
      <c r="I17" s="2" t="s">
        <v>52</v>
      </c>
      <c r="J17" s="2" t="str">
        <f t="shared" si="0"/>
        <v>Apr</v>
      </c>
      <c r="K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" s="2" t="b">
        <v>1</v>
      </c>
      <c r="P17" s="2">
        <f t="shared" si="1"/>
        <v>314.08</v>
      </c>
    </row>
    <row r="18" spans="1:25" x14ac:dyDescent="0.35">
      <c r="A18" s="2" t="s">
        <v>57</v>
      </c>
      <c r="B18" s="2" t="s">
        <v>58</v>
      </c>
      <c r="C18" s="3">
        <v>45520</v>
      </c>
      <c r="D18" s="2" t="s">
        <v>20</v>
      </c>
      <c r="E18" s="2" t="s">
        <v>47</v>
      </c>
      <c r="F18" s="2">
        <v>8</v>
      </c>
      <c r="G18" s="2">
        <v>39.26</v>
      </c>
      <c r="H18" s="2">
        <v>314.08</v>
      </c>
      <c r="I18" s="2" t="s">
        <v>17</v>
      </c>
      <c r="J18" s="2" t="str">
        <f t="shared" si="0"/>
        <v>Aug</v>
      </c>
      <c r="K18" s="4">
        <f>IF(AND(ISNUMBER(Lab2_Dataset[[#This Row],[Revenue]]), ISNUMBER(Lab2_Dataset[[#This Row],[Quantity]]), Lab2_Dataset[[#This Row],[Quantity]]&lt;&gt;0), Lab2_Dataset[[#This Row],[Revenue]]/Lab2_Dataset[[#This Row],[Quantity]], "")</f>
        <v>39.26</v>
      </c>
      <c r="O18" s="2" t="b">
        <v>0</v>
      </c>
      <c r="P18" s="2" t="str">
        <f t="shared" si="1"/>
        <v/>
      </c>
    </row>
    <row r="19" spans="1:25" x14ac:dyDescent="0.35">
      <c r="A19" s="2" t="s">
        <v>59</v>
      </c>
      <c r="B19" s="2" t="s">
        <v>60</v>
      </c>
      <c r="C19" s="3">
        <v>45405</v>
      </c>
      <c r="D19" s="2" t="s">
        <v>27</v>
      </c>
      <c r="E19" s="2" t="s">
        <v>12</v>
      </c>
      <c r="G19" s="2">
        <v>51.82</v>
      </c>
      <c r="I19" s="2" t="s">
        <v>13</v>
      </c>
      <c r="J19" s="2" t="str">
        <f t="shared" si="0"/>
        <v>Apr</v>
      </c>
      <c r="K1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" s="2" t="b">
        <v>1</v>
      </c>
      <c r="P19" s="2" t="str">
        <f t="shared" si="1"/>
        <v/>
      </c>
    </row>
    <row r="20" spans="1:25" x14ac:dyDescent="0.35">
      <c r="A20" s="2" t="s">
        <v>61</v>
      </c>
      <c r="B20" s="2" t="s">
        <v>62</v>
      </c>
      <c r="C20" s="3">
        <v>45126</v>
      </c>
      <c r="D20" s="2" t="s">
        <v>34</v>
      </c>
      <c r="E20" s="2" t="s">
        <v>47</v>
      </c>
      <c r="G20" s="2">
        <v>72.75</v>
      </c>
      <c r="I20" s="2" t="s">
        <v>52</v>
      </c>
      <c r="J20" s="2" t="str">
        <f t="shared" si="0"/>
        <v>Jul</v>
      </c>
      <c r="K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0" s="2" t="b">
        <v>1</v>
      </c>
      <c r="P20" s="2">
        <f t="shared" si="1"/>
        <v>395</v>
      </c>
      <c r="S20" s="5" t="s">
        <v>2028</v>
      </c>
      <c r="T20" s="2" t="s">
        <v>2026</v>
      </c>
    </row>
    <row r="21" spans="1:25" x14ac:dyDescent="0.35">
      <c r="A21" s="2" t="s">
        <v>63</v>
      </c>
      <c r="B21" s="2" t="s">
        <v>64</v>
      </c>
      <c r="C21" s="3">
        <v>45071</v>
      </c>
      <c r="D21" s="2" t="s">
        <v>11</v>
      </c>
      <c r="E21" s="2" t="s">
        <v>12</v>
      </c>
      <c r="F21" s="2">
        <v>5</v>
      </c>
      <c r="G21" s="2">
        <v>79</v>
      </c>
      <c r="H21" s="2">
        <v>395</v>
      </c>
      <c r="I21" s="2" t="s">
        <v>52</v>
      </c>
      <c r="J21" s="2" t="str">
        <f t="shared" si="0"/>
        <v>May</v>
      </c>
      <c r="K21" s="4">
        <f>IF(AND(ISNUMBER(Lab2_Dataset[[#This Row],[Revenue]]), ISNUMBER(Lab2_Dataset[[#This Row],[Quantity]]), Lab2_Dataset[[#This Row],[Quantity]]&lt;&gt;0), Lab2_Dataset[[#This Row],[Revenue]]/Lab2_Dataset[[#This Row],[Quantity]], "")</f>
        <v>79</v>
      </c>
      <c r="O21" s="2" t="b">
        <v>0</v>
      </c>
      <c r="P21" s="2" t="str">
        <f t="shared" si="1"/>
        <v/>
      </c>
      <c r="S21" s="2" t="s">
        <v>12</v>
      </c>
      <c r="T21" s="2">
        <v>518</v>
      </c>
    </row>
    <row r="22" spans="1:25" x14ac:dyDescent="0.35">
      <c r="A22" s="2" t="s">
        <v>65</v>
      </c>
      <c r="B22" s="2" t="s">
        <v>66</v>
      </c>
      <c r="C22" s="3">
        <v>45554</v>
      </c>
      <c r="D22" s="2" t="s">
        <v>20</v>
      </c>
      <c r="E22" s="2" t="s">
        <v>28</v>
      </c>
      <c r="G22" s="2">
        <v>120.77</v>
      </c>
      <c r="I22" s="2" t="s">
        <v>21</v>
      </c>
      <c r="J22" s="2" t="str">
        <f t="shared" si="0"/>
        <v>Sep</v>
      </c>
      <c r="K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2" s="2" t="b">
        <v>1</v>
      </c>
      <c r="P22" s="2" t="str">
        <f t="shared" si="1"/>
        <v/>
      </c>
      <c r="S22" s="2" t="s">
        <v>16</v>
      </c>
      <c r="T22" s="2">
        <v>465</v>
      </c>
    </row>
    <row r="23" spans="1:25" x14ac:dyDescent="0.35">
      <c r="A23" s="2" t="s">
        <v>67</v>
      </c>
      <c r="B23" s="2" t="s">
        <v>68</v>
      </c>
      <c r="C23" s="3">
        <v>45617</v>
      </c>
      <c r="D23" s="2" t="s">
        <v>69</v>
      </c>
      <c r="E23" s="2" t="s">
        <v>47</v>
      </c>
      <c r="G23" s="2">
        <v>176.96</v>
      </c>
      <c r="I23" s="2" t="s">
        <v>21</v>
      </c>
      <c r="J23" s="2" t="str">
        <f t="shared" si="0"/>
        <v>Nov</v>
      </c>
      <c r="K2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" s="2" t="b">
        <v>1</v>
      </c>
      <c r="P23" s="2">
        <f t="shared" si="1"/>
        <v>1642.5</v>
      </c>
      <c r="S23" s="2" t="s">
        <v>47</v>
      </c>
      <c r="T23" s="2">
        <v>465</v>
      </c>
    </row>
    <row r="24" spans="1:25" x14ac:dyDescent="0.35">
      <c r="A24" s="2" t="s">
        <v>70</v>
      </c>
      <c r="B24" s="2" t="s">
        <v>71</v>
      </c>
      <c r="C24" s="3">
        <v>45187</v>
      </c>
      <c r="D24" s="2" t="s">
        <v>27</v>
      </c>
      <c r="E24" s="2" t="s">
        <v>12</v>
      </c>
      <c r="F24" s="2">
        <v>9</v>
      </c>
      <c r="G24" s="2">
        <v>182.5</v>
      </c>
      <c r="H24" s="2">
        <v>1642.5</v>
      </c>
      <c r="I24" s="2" t="s">
        <v>31</v>
      </c>
      <c r="J24" s="2" t="str">
        <f t="shared" si="0"/>
        <v>Sep</v>
      </c>
      <c r="K24" s="4">
        <f>IF(AND(ISNUMBER(Lab2_Dataset[[#This Row],[Revenue]]), ISNUMBER(Lab2_Dataset[[#This Row],[Quantity]]), Lab2_Dataset[[#This Row],[Quantity]]&lt;&gt;0), Lab2_Dataset[[#This Row],[Revenue]]/Lab2_Dataset[[#This Row],[Quantity]], "")</f>
        <v>182.5</v>
      </c>
      <c r="O24" s="2" t="b">
        <v>0</v>
      </c>
      <c r="P24" s="2" t="str">
        <f t="shared" si="1"/>
        <v/>
      </c>
      <c r="S24" s="2" t="s">
        <v>28</v>
      </c>
      <c r="T24" s="2">
        <v>464</v>
      </c>
    </row>
    <row r="25" spans="1:25" x14ac:dyDescent="0.35">
      <c r="A25" s="2" t="s">
        <v>72</v>
      </c>
      <c r="B25" s="2" t="s">
        <v>73</v>
      </c>
      <c r="C25" s="3">
        <v>45609</v>
      </c>
      <c r="D25" s="2" t="s">
        <v>20</v>
      </c>
      <c r="E25" s="2" t="s">
        <v>16</v>
      </c>
      <c r="G25" s="2">
        <v>156.29</v>
      </c>
      <c r="I25" s="2" t="s">
        <v>31</v>
      </c>
      <c r="J25" s="2" t="str">
        <f t="shared" si="0"/>
        <v>Nov</v>
      </c>
      <c r="K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5" s="2" t="b">
        <v>1</v>
      </c>
      <c r="P25" s="2" t="str">
        <f t="shared" si="1"/>
        <v/>
      </c>
      <c r="S25" s="2" t="s">
        <v>24</v>
      </c>
      <c r="T25" s="2">
        <v>543</v>
      </c>
    </row>
    <row r="26" spans="1:25" x14ac:dyDescent="0.35">
      <c r="A26" s="2" t="s">
        <v>74</v>
      </c>
      <c r="B26" s="2" t="s">
        <v>75</v>
      </c>
      <c r="C26" s="3">
        <v>45137</v>
      </c>
      <c r="D26" s="2" t="s">
        <v>11</v>
      </c>
      <c r="E26" s="2" t="s">
        <v>28</v>
      </c>
      <c r="G26" s="2">
        <v>96.43</v>
      </c>
      <c r="I26" s="2" t="s">
        <v>31</v>
      </c>
      <c r="J26" s="2" t="str">
        <f t="shared" si="0"/>
        <v>Jul</v>
      </c>
      <c r="K2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" s="2" t="b">
        <v>1</v>
      </c>
      <c r="P26" s="2" t="str">
        <f t="shared" si="1"/>
        <v/>
      </c>
      <c r="S26" s="2" t="s">
        <v>2024</v>
      </c>
      <c r="T26" s="2">
        <v>2455</v>
      </c>
    </row>
    <row r="27" spans="1:25" x14ac:dyDescent="0.35">
      <c r="A27" s="2" t="s">
        <v>76</v>
      </c>
      <c r="B27" s="2" t="s">
        <v>77</v>
      </c>
      <c r="C27" s="3">
        <v>45369</v>
      </c>
      <c r="D27" s="2" t="s">
        <v>69</v>
      </c>
      <c r="E27" s="2" t="s">
        <v>24</v>
      </c>
      <c r="G27" s="2">
        <v>156.07</v>
      </c>
      <c r="I27" s="2" t="s">
        <v>52</v>
      </c>
      <c r="J27" s="2" t="str">
        <f t="shared" si="0"/>
        <v>Mar</v>
      </c>
      <c r="K2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" s="2" t="b">
        <v>1</v>
      </c>
      <c r="P27" s="2">
        <f t="shared" si="1"/>
        <v>718.4</v>
      </c>
    </row>
    <row r="28" spans="1:25" x14ac:dyDescent="0.35">
      <c r="A28" s="2" t="s">
        <v>78</v>
      </c>
      <c r="B28" s="2" t="s">
        <v>79</v>
      </c>
      <c r="C28" s="3">
        <v>45369</v>
      </c>
      <c r="D28" s="2" t="s">
        <v>34</v>
      </c>
      <c r="E28" s="2" t="s">
        <v>47</v>
      </c>
      <c r="F28" s="2">
        <v>4</v>
      </c>
      <c r="G28" s="2">
        <v>179.6</v>
      </c>
      <c r="I28" s="2" t="s">
        <v>38</v>
      </c>
      <c r="J28" s="2" t="str">
        <f t="shared" si="0"/>
        <v>Mar</v>
      </c>
      <c r="K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" s="2" t="b">
        <v>0</v>
      </c>
      <c r="P28" s="2" t="str">
        <f t="shared" si="1"/>
        <v/>
      </c>
    </row>
    <row r="29" spans="1:25" x14ac:dyDescent="0.35">
      <c r="A29" s="2" t="s">
        <v>80</v>
      </c>
      <c r="B29" s="2" t="s">
        <v>81</v>
      </c>
      <c r="C29" s="3">
        <v>45770</v>
      </c>
      <c r="D29" s="2" t="s">
        <v>34</v>
      </c>
      <c r="E29" s="2" t="s">
        <v>47</v>
      </c>
      <c r="G29" s="2">
        <v>85.5</v>
      </c>
      <c r="I29" s="2" t="s">
        <v>31</v>
      </c>
      <c r="J29" s="2" t="str">
        <f t="shared" si="0"/>
        <v>Apr</v>
      </c>
      <c r="K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" s="2" t="b">
        <v>1</v>
      </c>
      <c r="P29" s="2" t="str">
        <f t="shared" si="1"/>
        <v/>
      </c>
    </row>
    <row r="30" spans="1:25" x14ac:dyDescent="0.35">
      <c r="A30" s="2" t="s">
        <v>82</v>
      </c>
      <c r="B30" s="2" t="s">
        <v>83</v>
      </c>
      <c r="C30" s="3">
        <v>45245</v>
      </c>
      <c r="D30" s="2" t="s">
        <v>37</v>
      </c>
      <c r="E30" s="2" t="s">
        <v>12</v>
      </c>
      <c r="G30" s="2">
        <v>124.55</v>
      </c>
      <c r="I30" s="2" t="s">
        <v>17</v>
      </c>
      <c r="J30" s="2" t="str">
        <f t="shared" si="0"/>
        <v>Nov</v>
      </c>
      <c r="K3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" s="2" t="b">
        <v>1</v>
      </c>
      <c r="P30" s="2" t="str">
        <f t="shared" si="1"/>
        <v/>
      </c>
      <c r="S30" s="6" t="s">
        <v>2027</v>
      </c>
      <c r="T30" s="5" t="s">
        <v>3</v>
      </c>
    </row>
    <row r="31" spans="1:25" x14ac:dyDescent="0.35">
      <c r="A31" s="2" t="s">
        <v>84</v>
      </c>
      <c r="B31" s="2" t="s">
        <v>85</v>
      </c>
      <c r="C31" s="3">
        <v>45217</v>
      </c>
      <c r="D31" s="2" t="s">
        <v>69</v>
      </c>
      <c r="E31" s="2" t="s">
        <v>16</v>
      </c>
      <c r="G31" s="2">
        <v>21.17</v>
      </c>
      <c r="I31" s="2" t="s">
        <v>13</v>
      </c>
      <c r="J31" s="2" t="str">
        <f t="shared" si="0"/>
        <v>Oct</v>
      </c>
      <c r="K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1" s="2" t="b">
        <v>1</v>
      </c>
      <c r="P31" s="2">
        <f t="shared" si="1"/>
        <v>118.80000000000001</v>
      </c>
      <c r="S31" s="5" t="s">
        <v>2028</v>
      </c>
      <c r="T31" s="2" t="s">
        <v>20</v>
      </c>
      <c r="U31" s="2" t="s">
        <v>11</v>
      </c>
      <c r="V31" s="2" t="s">
        <v>69</v>
      </c>
      <c r="W31" s="2" t="s">
        <v>27</v>
      </c>
      <c r="X31" s="2" t="s">
        <v>37</v>
      </c>
      <c r="Y31" s="2" t="s">
        <v>2024</v>
      </c>
    </row>
    <row r="32" spans="1:25" x14ac:dyDescent="0.35">
      <c r="A32" s="2" t="s">
        <v>86</v>
      </c>
      <c r="B32" s="2" t="s">
        <v>87</v>
      </c>
      <c r="C32" s="3">
        <v>45283</v>
      </c>
      <c r="D32" s="2" t="s">
        <v>34</v>
      </c>
      <c r="E32" s="2" t="s">
        <v>16</v>
      </c>
      <c r="F32" s="2">
        <v>3</v>
      </c>
      <c r="G32" s="2">
        <v>39.6</v>
      </c>
      <c r="H32" s="2">
        <v>118.8</v>
      </c>
      <c r="I32" s="2" t="s">
        <v>38</v>
      </c>
      <c r="J32" s="2" t="str">
        <f t="shared" si="0"/>
        <v>Dec</v>
      </c>
      <c r="K32" s="4">
        <f>IF(AND(ISNUMBER(Lab2_Dataset[[#This Row],[Revenue]]), ISNUMBER(Lab2_Dataset[[#This Row],[Quantity]]), Lab2_Dataset[[#This Row],[Quantity]]&lt;&gt;0), Lab2_Dataset[[#This Row],[Revenue]]/Lab2_Dataset[[#This Row],[Quantity]], "")</f>
        <v>39.6</v>
      </c>
      <c r="O32" s="2" t="b">
        <v>0</v>
      </c>
      <c r="P32" s="2" t="str">
        <f t="shared" si="1"/>
        <v/>
      </c>
      <c r="S32" s="2" t="s">
        <v>12</v>
      </c>
      <c r="T32" s="7">
        <v>3496.9800000000005</v>
      </c>
      <c r="U32" s="7">
        <v>6426.1000000000031</v>
      </c>
      <c r="V32" s="7">
        <v>3333.32</v>
      </c>
      <c r="W32" s="7">
        <v>3452.03</v>
      </c>
      <c r="X32" s="7">
        <v>3780.79</v>
      </c>
      <c r="Y32" s="7">
        <v>20489.220000000005</v>
      </c>
    </row>
    <row r="33" spans="1:25" x14ac:dyDescent="0.35">
      <c r="A33" s="2" t="s">
        <v>88</v>
      </c>
      <c r="B33" s="2" t="s">
        <v>89</v>
      </c>
      <c r="C33" s="3">
        <v>45393</v>
      </c>
      <c r="D33" s="2" t="s">
        <v>27</v>
      </c>
      <c r="E33" s="2" t="s">
        <v>16</v>
      </c>
      <c r="G33" s="2">
        <v>15.02</v>
      </c>
      <c r="I33" s="2" t="s">
        <v>52</v>
      </c>
      <c r="J33" s="2" t="str">
        <f t="shared" si="0"/>
        <v>Apr</v>
      </c>
      <c r="K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" s="2" t="b">
        <v>1</v>
      </c>
      <c r="P33" s="2" t="str">
        <f t="shared" si="1"/>
        <v/>
      </c>
      <c r="S33" s="2" t="s">
        <v>16</v>
      </c>
      <c r="T33" s="7">
        <v>3250.1499999999992</v>
      </c>
      <c r="U33" s="7">
        <v>7798.7800000000025</v>
      </c>
      <c r="V33" s="7">
        <v>3405.6000000000004</v>
      </c>
      <c r="W33" s="7">
        <v>3179.6400000000003</v>
      </c>
      <c r="X33" s="7">
        <v>3333.4799999999991</v>
      </c>
      <c r="Y33" s="7">
        <v>20967.650000000001</v>
      </c>
    </row>
    <row r="34" spans="1:25" x14ac:dyDescent="0.35">
      <c r="A34" s="2" t="s">
        <v>90</v>
      </c>
      <c r="B34" s="2" t="s">
        <v>91</v>
      </c>
      <c r="C34" s="3">
        <v>45581</v>
      </c>
      <c r="D34" s="2" t="s">
        <v>69</v>
      </c>
      <c r="E34" s="2" t="s">
        <v>28</v>
      </c>
      <c r="G34" s="2">
        <v>195.14</v>
      </c>
      <c r="I34" s="2" t="s">
        <v>38</v>
      </c>
      <c r="J34" s="2" t="str">
        <f t="shared" si="0"/>
        <v>Oct</v>
      </c>
      <c r="K3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" s="2" t="b">
        <v>1</v>
      </c>
      <c r="P34" s="2">
        <f t="shared" si="1"/>
        <v>286.56</v>
      </c>
      <c r="S34" s="2" t="s">
        <v>47</v>
      </c>
      <c r="T34" s="7">
        <v>2870.7999999999993</v>
      </c>
      <c r="U34" s="7">
        <v>6353.4199999999992</v>
      </c>
      <c r="V34" s="7">
        <v>3077.7900000000009</v>
      </c>
      <c r="W34" s="7">
        <v>3457.88</v>
      </c>
      <c r="X34" s="7">
        <v>2890.5999999999995</v>
      </c>
      <c r="Y34" s="7">
        <v>18650.489999999998</v>
      </c>
    </row>
    <row r="35" spans="1:25" x14ac:dyDescent="0.35">
      <c r="A35" s="2" t="s">
        <v>92</v>
      </c>
      <c r="B35" s="2" t="s">
        <v>93</v>
      </c>
      <c r="C35" s="3">
        <v>45695</v>
      </c>
      <c r="D35" s="2" t="s">
        <v>20</v>
      </c>
      <c r="E35" s="2" t="s">
        <v>47</v>
      </c>
      <c r="F35" s="2">
        <v>9</v>
      </c>
      <c r="G35" s="2">
        <v>31.84</v>
      </c>
      <c r="H35" s="2">
        <v>286.56</v>
      </c>
      <c r="I35" s="2" t="s">
        <v>17</v>
      </c>
      <c r="J35" s="2" t="str">
        <f t="shared" si="0"/>
        <v>Feb</v>
      </c>
      <c r="K35" s="4">
        <f>IF(AND(ISNUMBER(Lab2_Dataset[[#This Row],[Revenue]]), ISNUMBER(Lab2_Dataset[[#This Row],[Quantity]]), Lab2_Dataset[[#This Row],[Quantity]]&lt;&gt;0), Lab2_Dataset[[#This Row],[Revenue]]/Lab2_Dataset[[#This Row],[Quantity]], "")</f>
        <v>31.84</v>
      </c>
      <c r="O35" s="2" t="b">
        <v>0</v>
      </c>
      <c r="P35" s="2" t="str">
        <f t="shared" si="1"/>
        <v/>
      </c>
      <c r="S35" s="2" t="s">
        <v>28</v>
      </c>
      <c r="T35" s="7">
        <v>5094.6500000000005</v>
      </c>
      <c r="U35" s="7">
        <v>7843.8500000000013</v>
      </c>
      <c r="V35" s="7">
        <v>2931.59</v>
      </c>
      <c r="W35" s="7">
        <v>3557.9000000000005</v>
      </c>
      <c r="X35" s="7">
        <v>2894.54</v>
      </c>
      <c r="Y35" s="7">
        <v>22322.530000000002</v>
      </c>
    </row>
    <row r="36" spans="1:25" x14ac:dyDescent="0.35">
      <c r="A36" s="2" t="s">
        <v>94</v>
      </c>
      <c r="B36" s="2" t="s">
        <v>95</v>
      </c>
      <c r="C36" s="3">
        <v>45543</v>
      </c>
      <c r="D36" s="2" t="s">
        <v>20</v>
      </c>
      <c r="E36" s="2" t="s">
        <v>12</v>
      </c>
      <c r="G36" s="2">
        <v>87.04</v>
      </c>
      <c r="I36" s="2" t="s">
        <v>13</v>
      </c>
      <c r="J36" s="2" t="str">
        <f t="shared" si="0"/>
        <v>Sep</v>
      </c>
      <c r="K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" s="2" t="b">
        <v>1</v>
      </c>
      <c r="P36" s="2" t="str">
        <f t="shared" si="1"/>
        <v/>
      </c>
      <c r="S36" s="2" t="s">
        <v>24</v>
      </c>
      <c r="T36" s="7">
        <v>2619.0800000000004</v>
      </c>
      <c r="U36" s="7">
        <v>8299.43</v>
      </c>
      <c r="V36" s="7">
        <v>3646.1200000000003</v>
      </c>
      <c r="W36" s="7">
        <v>3429.1000000000004</v>
      </c>
      <c r="X36" s="7">
        <v>4305.58</v>
      </c>
      <c r="Y36" s="7">
        <v>22299.310000000005</v>
      </c>
    </row>
    <row r="37" spans="1:25" x14ac:dyDescent="0.35">
      <c r="A37" s="2" t="s">
        <v>96</v>
      </c>
      <c r="B37" s="2" t="s">
        <v>97</v>
      </c>
      <c r="C37" s="3">
        <v>45261</v>
      </c>
      <c r="D37" s="2" t="s">
        <v>27</v>
      </c>
      <c r="E37" s="2" t="s">
        <v>47</v>
      </c>
      <c r="G37" s="2">
        <v>116.37</v>
      </c>
      <c r="I37" s="2" t="s">
        <v>31</v>
      </c>
      <c r="J37" s="2" t="str">
        <f t="shared" si="0"/>
        <v>Dec</v>
      </c>
      <c r="K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" s="2" t="b">
        <v>1</v>
      </c>
      <c r="P37" s="2">
        <f t="shared" si="1"/>
        <v>545.52</v>
      </c>
      <c r="S37" s="2" t="s">
        <v>2024</v>
      </c>
      <c r="T37" s="7">
        <v>17331.66</v>
      </c>
      <c r="U37" s="7">
        <v>36721.58</v>
      </c>
      <c r="V37" s="7">
        <v>16394.420000000002</v>
      </c>
      <c r="W37" s="7">
        <v>17076.550000000003</v>
      </c>
      <c r="X37" s="7">
        <v>17204.989999999998</v>
      </c>
      <c r="Y37" s="7">
        <v>104729.20000000001</v>
      </c>
    </row>
    <row r="38" spans="1:25" x14ac:dyDescent="0.35">
      <c r="A38" s="2" t="s">
        <v>98</v>
      </c>
      <c r="B38" s="2" t="s">
        <v>99</v>
      </c>
      <c r="C38" s="3">
        <v>45461</v>
      </c>
      <c r="D38" s="2" t="s">
        <v>37</v>
      </c>
      <c r="E38" s="2" t="s">
        <v>24</v>
      </c>
      <c r="F38" s="2">
        <v>4</v>
      </c>
      <c r="G38" s="2">
        <v>136.38</v>
      </c>
      <c r="H38" s="2">
        <v>545.52</v>
      </c>
      <c r="I38" s="2" t="s">
        <v>38</v>
      </c>
      <c r="J38" s="2" t="str">
        <f t="shared" si="0"/>
        <v>Jun</v>
      </c>
      <c r="K38" s="4">
        <f>IF(AND(ISNUMBER(Lab2_Dataset[[#This Row],[Revenue]]), ISNUMBER(Lab2_Dataset[[#This Row],[Quantity]]), Lab2_Dataset[[#This Row],[Quantity]]&lt;&gt;0), Lab2_Dataset[[#This Row],[Revenue]]/Lab2_Dataset[[#This Row],[Quantity]], "")</f>
        <v>136.38</v>
      </c>
      <c r="O38" s="2" t="b">
        <v>0</v>
      </c>
      <c r="P38" s="2" t="str">
        <f t="shared" si="1"/>
        <v/>
      </c>
    </row>
    <row r="39" spans="1:25" x14ac:dyDescent="0.35">
      <c r="A39" s="2" t="s">
        <v>100</v>
      </c>
      <c r="B39" s="2" t="s">
        <v>101</v>
      </c>
      <c r="C39" s="3">
        <v>45529</v>
      </c>
      <c r="D39" s="2" t="s">
        <v>27</v>
      </c>
      <c r="E39" s="2" t="s">
        <v>28</v>
      </c>
      <c r="G39" s="2">
        <v>135.72</v>
      </c>
      <c r="I39" s="2" t="s">
        <v>31</v>
      </c>
      <c r="J39" s="2" t="str">
        <f t="shared" si="0"/>
        <v>Aug</v>
      </c>
      <c r="K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" s="2" t="b">
        <v>1</v>
      </c>
      <c r="P39" s="2">
        <f t="shared" si="1"/>
        <v>277.52</v>
      </c>
    </row>
    <row r="40" spans="1:25" x14ac:dyDescent="0.35">
      <c r="A40" s="2" t="s">
        <v>102</v>
      </c>
      <c r="B40" s="2" t="s">
        <v>103</v>
      </c>
      <c r="C40" s="3">
        <v>45224</v>
      </c>
      <c r="D40" s="2" t="s">
        <v>37</v>
      </c>
      <c r="E40" s="2" t="s">
        <v>16</v>
      </c>
      <c r="F40" s="2">
        <v>2</v>
      </c>
      <c r="G40" s="2">
        <v>138.76</v>
      </c>
      <c r="I40" s="2" t="s">
        <v>38</v>
      </c>
      <c r="J40" s="2" t="str">
        <f t="shared" si="0"/>
        <v>Oct</v>
      </c>
      <c r="K4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0" s="2" t="b">
        <v>0</v>
      </c>
      <c r="P40" s="2" t="str">
        <f t="shared" si="1"/>
        <v/>
      </c>
    </row>
    <row r="41" spans="1:25" x14ac:dyDescent="0.35">
      <c r="A41" s="2" t="s">
        <v>104</v>
      </c>
      <c r="B41" s="2" t="s">
        <v>105</v>
      </c>
      <c r="C41" s="3">
        <v>45351</v>
      </c>
      <c r="D41" s="2" t="s">
        <v>11</v>
      </c>
      <c r="E41" s="2" t="s">
        <v>24</v>
      </c>
      <c r="G41" s="2">
        <v>117.23</v>
      </c>
      <c r="I41" s="2" t="s">
        <v>21</v>
      </c>
      <c r="J41" s="2" t="str">
        <f t="shared" si="0"/>
        <v>Feb</v>
      </c>
      <c r="K4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" s="2" t="b">
        <v>1</v>
      </c>
      <c r="P41" s="2" t="str">
        <f t="shared" si="1"/>
        <v/>
      </c>
    </row>
    <row r="42" spans="1:25" x14ac:dyDescent="0.35">
      <c r="A42" s="2" t="s">
        <v>106</v>
      </c>
      <c r="B42" s="2" t="s">
        <v>107</v>
      </c>
      <c r="C42" s="3">
        <v>45228</v>
      </c>
      <c r="D42" s="2" t="s">
        <v>11</v>
      </c>
      <c r="E42" s="2" t="s">
        <v>16</v>
      </c>
      <c r="G42" s="2">
        <v>158.09</v>
      </c>
      <c r="I42" s="2" t="s">
        <v>31</v>
      </c>
      <c r="J42" s="2" t="str">
        <f t="shared" si="0"/>
        <v>Oct</v>
      </c>
      <c r="K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" s="2" t="b">
        <v>1</v>
      </c>
      <c r="P42" s="2">
        <f t="shared" si="1"/>
        <v>339.22</v>
      </c>
    </row>
    <row r="43" spans="1:25" x14ac:dyDescent="0.35">
      <c r="A43" s="2" t="s">
        <v>108</v>
      </c>
      <c r="B43" s="2" t="s">
        <v>109</v>
      </c>
      <c r="C43" s="3">
        <v>45590</v>
      </c>
      <c r="D43" s="2" t="s">
        <v>11</v>
      </c>
      <c r="E43" s="2" t="s">
        <v>28</v>
      </c>
      <c r="F43" s="2">
        <v>2</v>
      </c>
      <c r="G43" s="2">
        <v>169.61</v>
      </c>
      <c r="H43" s="2">
        <v>339.22</v>
      </c>
      <c r="I43" s="2" t="s">
        <v>31</v>
      </c>
      <c r="J43" s="2" t="str">
        <f t="shared" si="0"/>
        <v>Oct</v>
      </c>
      <c r="K43" s="4">
        <f>IF(AND(ISNUMBER(Lab2_Dataset[[#This Row],[Revenue]]), ISNUMBER(Lab2_Dataset[[#This Row],[Quantity]]), Lab2_Dataset[[#This Row],[Quantity]]&lt;&gt;0), Lab2_Dataset[[#This Row],[Revenue]]/Lab2_Dataset[[#This Row],[Quantity]], "")</f>
        <v>169.61</v>
      </c>
      <c r="O43" s="2" t="b">
        <v>0</v>
      </c>
      <c r="P43" s="2" t="str">
        <f t="shared" si="1"/>
        <v/>
      </c>
    </row>
    <row r="44" spans="1:25" x14ac:dyDescent="0.35">
      <c r="A44" s="2" t="s">
        <v>110</v>
      </c>
      <c r="B44" s="2" t="s">
        <v>111</v>
      </c>
      <c r="C44" s="3">
        <v>45269</v>
      </c>
      <c r="D44" s="2" t="s">
        <v>27</v>
      </c>
      <c r="E44" s="2" t="s">
        <v>47</v>
      </c>
      <c r="G44" s="2">
        <v>61.7</v>
      </c>
      <c r="I44" s="2" t="s">
        <v>31</v>
      </c>
      <c r="J44" s="2" t="str">
        <f t="shared" si="0"/>
        <v>Dec</v>
      </c>
      <c r="K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" s="2" t="b">
        <v>1</v>
      </c>
      <c r="P44" s="2" t="str">
        <f t="shared" si="1"/>
        <v/>
      </c>
    </row>
    <row r="45" spans="1:25" x14ac:dyDescent="0.35">
      <c r="A45" s="2" t="s">
        <v>112</v>
      </c>
      <c r="B45" s="2" t="s">
        <v>113</v>
      </c>
      <c r="C45" s="3">
        <v>45177</v>
      </c>
      <c r="D45" s="2" t="s">
        <v>34</v>
      </c>
      <c r="E45" s="2" t="s">
        <v>16</v>
      </c>
      <c r="G45" s="2">
        <v>64.040000000000006</v>
      </c>
      <c r="I45" s="2" t="s">
        <v>13</v>
      </c>
      <c r="J45" s="2" t="str">
        <f t="shared" si="0"/>
        <v>Sep</v>
      </c>
      <c r="K4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" s="2" t="b">
        <v>1</v>
      </c>
      <c r="P45" s="2">
        <f t="shared" si="1"/>
        <v>1277.04</v>
      </c>
    </row>
    <row r="46" spans="1:25" x14ac:dyDescent="0.35">
      <c r="A46" s="2" t="s">
        <v>114</v>
      </c>
      <c r="B46" s="2" t="s">
        <v>115</v>
      </c>
      <c r="C46" s="3">
        <v>45294</v>
      </c>
      <c r="D46" s="2" t="s">
        <v>37</v>
      </c>
      <c r="E46" s="2" t="s">
        <v>24</v>
      </c>
      <c r="F46" s="2">
        <v>8</v>
      </c>
      <c r="G46" s="2">
        <v>159.63</v>
      </c>
      <c r="H46" s="2">
        <v>1277.04</v>
      </c>
      <c r="I46" s="2" t="s">
        <v>38</v>
      </c>
      <c r="J46" s="2" t="str">
        <f t="shared" si="0"/>
        <v>Jan</v>
      </c>
      <c r="K46" s="4">
        <f>IF(AND(ISNUMBER(Lab2_Dataset[[#This Row],[Revenue]]), ISNUMBER(Lab2_Dataset[[#This Row],[Quantity]]), Lab2_Dataset[[#This Row],[Quantity]]&lt;&gt;0), Lab2_Dataset[[#This Row],[Revenue]]/Lab2_Dataset[[#This Row],[Quantity]], "")</f>
        <v>159.63</v>
      </c>
      <c r="O46" s="2" t="b">
        <v>0</v>
      </c>
      <c r="P46" s="2">
        <f t="shared" si="1"/>
        <v>350.94</v>
      </c>
    </row>
    <row r="47" spans="1:25" x14ac:dyDescent="0.35">
      <c r="A47" s="2" t="s">
        <v>116</v>
      </c>
      <c r="B47" s="2" t="s">
        <v>117</v>
      </c>
      <c r="C47" s="3">
        <v>45643</v>
      </c>
      <c r="D47" s="2" t="s">
        <v>69</v>
      </c>
      <c r="E47" s="2" t="s">
        <v>24</v>
      </c>
      <c r="F47" s="2">
        <v>3</v>
      </c>
      <c r="G47" s="2">
        <v>116.98</v>
      </c>
      <c r="I47" s="2" t="s">
        <v>52</v>
      </c>
      <c r="J47" s="2" t="str">
        <f t="shared" si="0"/>
        <v>Dec</v>
      </c>
      <c r="K4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7" s="2" t="b">
        <v>0</v>
      </c>
      <c r="P47" s="2" t="str">
        <f t="shared" si="1"/>
        <v/>
      </c>
    </row>
    <row r="48" spans="1:25" x14ac:dyDescent="0.35">
      <c r="A48" s="2" t="s">
        <v>118</v>
      </c>
      <c r="B48" s="2" t="s">
        <v>119</v>
      </c>
      <c r="C48" s="3">
        <v>45457</v>
      </c>
      <c r="D48" s="2" t="s">
        <v>27</v>
      </c>
      <c r="E48" s="2" t="s">
        <v>47</v>
      </c>
      <c r="G48" s="2">
        <v>68.58</v>
      </c>
      <c r="I48" s="2" t="s">
        <v>31</v>
      </c>
      <c r="J48" s="2" t="str">
        <f t="shared" si="0"/>
        <v>Jun</v>
      </c>
      <c r="K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" s="2" t="b">
        <v>1</v>
      </c>
      <c r="P48" s="2">
        <f t="shared" si="1"/>
        <v>735.84</v>
      </c>
    </row>
    <row r="49" spans="1:16" x14ac:dyDescent="0.35">
      <c r="A49" s="2" t="s">
        <v>120</v>
      </c>
      <c r="B49" s="2" t="s">
        <v>121</v>
      </c>
      <c r="C49" s="3">
        <v>45718</v>
      </c>
      <c r="D49" s="2" t="s">
        <v>69</v>
      </c>
      <c r="E49" s="2" t="s">
        <v>47</v>
      </c>
      <c r="F49" s="2">
        <v>4</v>
      </c>
      <c r="G49" s="2">
        <v>183.96</v>
      </c>
      <c r="H49" s="2">
        <v>735.84</v>
      </c>
      <c r="I49" s="2" t="s">
        <v>52</v>
      </c>
      <c r="J49" s="2" t="str">
        <f t="shared" si="0"/>
        <v>Mar</v>
      </c>
      <c r="K49" s="4">
        <f>IF(AND(ISNUMBER(Lab2_Dataset[[#This Row],[Revenue]]), ISNUMBER(Lab2_Dataset[[#This Row],[Quantity]]), Lab2_Dataset[[#This Row],[Quantity]]&lt;&gt;0), Lab2_Dataset[[#This Row],[Revenue]]/Lab2_Dataset[[#This Row],[Quantity]], "")</f>
        <v>183.96</v>
      </c>
      <c r="O49" s="2" t="b">
        <v>0</v>
      </c>
      <c r="P49" s="2">
        <f t="shared" si="1"/>
        <v>159.91999999999999</v>
      </c>
    </row>
    <row r="50" spans="1:16" x14ac:dyDescent="0.35">
      <c r="A50" s="2" t="s">
        <v>122</v>
      </c>
      <c r="B50" s="2" t="s">
        <v>123</v>
      </c>
      <c r="C50" s="3">
        <v>45270</v>
      </c>
      <c r="D50" s="2" t="s">
        <v>69</v>
      </c>
      <c r="E50" s="2" t="s">
        <v>24</v>
      </c>
      <c r="F50" s="2">
        <v>2</v>
      </c>
      <c r="G50" s="2">
        <v>79.959999999999994</v>
      </c>
      <c r="H50" s="2">
        <v>159.91999999999999</v>
      </c>
      <c r="I50" s="2" t="s">
        <v>21</v>
      </c>
      <c r="J50" s="2" t="str">
        <f t="shared" si="0"/>
        <v>Dec</v>
      </c>
      <c r="K50" s="4">
        <f>IF(AND(ISNUMBER(Lab2_Dataset[[#This Row],[Revenue]]), ISNUMBER(Lab2_Dataset[[#This Row],[Quantity]]), Lab2_Dataset[[#This Row],[Quantity]]&lt;&gt;0), Lab2_Dataset[[#This Row],[Revenue]]/Lab2_Dataset[[#This Row],[Quantity]], "")</f>
        <v>79.959999999999994</v>
      </c>
      <c r="O50" s="2" t="b">
        <v>0</v>
      </c>
      <c r="P50" s="2">
        <f t="shared" si="1"/>
        <v>712</v>
      </c>
    </row>
    <row r="51" spans="1:16" x14ac:dyDescent="0.35">
      <c r="A51" s="2" t="s">
        <v>124</v>
      </c>
      <c r="B51" s="2" t="s">
        <v>125</v>
      </c>
      <c r="C51" s="3">
        <v>45281</v>
      </c>
      <c r="D51" s="2" t="s">
        <v>34</v>
      </c>
      <c r="E51" s="2" t="s">
        <v>16</v>
      </c>
      <c r="F51" s="2">
        <v>8</v>
      </c>
      <c r="G51" s="2">
        <v>89</v>
      </c>
      <c r="H51" s="2">
        <v>712</v>
      </c>
      <c r="I51" s="2" t="s">
        <v>52</v>
      </c>
      <c r="J51" s="2" t="str">
        <f t="shared" si="0"/>
        <v>Dec</v>
      </c>
      <c r="K51" s="4">
        <f>IF(AND(ISNUMBER(Lab2_Dataset[[#This Row],[Revenue]]), ISNUMBER(Lab2_Dataset[[#This Row],[Quantity]]), Lab2_Dataset[[#This Row],[Quantity]]&lt;&gt;0), Lab2_Dataset[[#This Row],[Revenue]]/Lab2_Dataset[[#This Row],[Quantity]], "")</f>
        <v>89</v>
      </c>
      <c r="O51" s="2" t="b">
        <v>0</v>
      </c>
      <c r="P51" s="2">
        <f t="shared" si="1"/>
        <v>746.2</v>
      </c>
    </row>
    <row r="52" spans="1:16" x14ac:dyDescent="0.35">
      <c r="A52" s="2" t="s">
        <v>126</v>
      </c>
      <c r="B52" s="2" t="s">
        <v>127</v>
      </c>
      <c r="C52" s="3">
        <v>45614</v>
      </c>
      <c r="D52" s="2" t="s">
        <v>20</v>
      </c>
      <c r="E52" s="2" t="s">
        <v>12</v>
      </c>
      <c r="F52" s="2">
        <v>4</v>
      </c>
      <c r="G52" s="2">
        <v>186.55</v>
      </c>
      <c r="H52" s="2">
        <v>746.2</v>
      </c>
      <c r="I52" s="2" t="s">
        <v>52</v>
      </c>
      <c r="J52" s="2" t="str">
        <f t="shared" si="0"/>
        <v>Nov</v>
      </c>
      <c r="K52" s="4">
        <f>IF(AND(ISNUMBER(Lab2_Dataset[[#This Row],[Revenue]]), ISNUMBER(Lab2_Dataset[[#This Row],[Quantity]]), Lab2_Dataset[[#This Row],[Quantity]]&lt;&gt;0), Lab2_Dataset[[#This Row],[Revenue]]/Lab2_Dataset[[#This Row],[Quantity]], "")</f>
        <v>186.55</v>
      </c>
      <c r="O52" s="2" t="b">
        <v>0</v>
      </c>
      <c r="P52" s="2" t="str">
        <f t="shared" si="1"/>
        <v/>
      </c>
    </row>
    <row r="53" spans="1:16" x14ac:dyDescent="0.35">
      <c r="A53" s="2" t="s">
        <v>128</v>
      </c>
      <c r="B53" s="2" t="s">
        <v>129</v>
      </c>
      <c r="C53" s="3">
        <v>45669</v>
      </c>
      <c r="D53" s="2" t="s">
        <v>20</v>
      </c>
      <c r="E53" s="2" t="s">
        <v>12</v>
      </c>
      <c r="G53" s="2">
        <v>106.73</v>
      </c>
      <c r="I53" s="2" t="s">
        <v>17</v>
      </c>
      <c r="J53" s="2" t="str">
        <f t="shared" si="0"/>
        <v>Jan</v>
      </c>
      <c r="K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" s="2" t="b">
        <v>1</v>
      </c>
      <c r="P53" s="2" t="str">
        <f t="shared" si="1"/>
        <v/>
      </c>
    </row>
    <row r="54" spans="1:16" x14ac:dyDescent="0.35">
      <c r="A54" s="2" t="s">
        <v>130</v>
      </c>
      <c r="B54" s="2" t="s">
        <v>131</v>
      </c>
      <c r="C54" s="3">
        <v>45081</v>
      </c>
      <c r="D54" s="2" t="s">
        <v>20</v>
      </c>
      <c r="E54" s="2" t="s">
        <v>28</v>
      </c>
      <c r="G54" s="2">
        <v>196.07</v>
      </c>
      <c r="I54" s="2" t="s">
        <v>31</v>
      </c>
      <c r="J54" s="2" t="str">
        <f t="shared" si="0"/>
        <v>Jun</v>
      </c>
      <c r="K5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4" s="2" t="b">
        <v>1</v>
      </c>
      <c r="P54" s="2" t="str">
        <f t="shared" si="1"/>
        <v/>
      </c>
    </row>
    <row r="55" spans="1:16" x14ac:dyDescent="0.35">
      <c r="A55" s="2" t="s">
        <v>132</v>
      </c>
      <c r="B55" s="2" t="s">
        <v>133</v>
      </c>
      <c r="C55" s="3">
        <v>45143</v>
      </c>
      <c r="D55" s="2" t="s">
        <v>34</v>
      </c>
      <c r="E55" s="2" t="s">
        <v>16</v>
      </c>
      <c r="G55" s="2">
        <v>106.44</v>
      </c>
      <c r="I55" s="2" t="s">
        <v>52</v>
      </c>
      <c r="J55" s="2" t="str">
        <f t="shared" si="0"/>
        <v>Aug</v>
      </c>
      <c r="K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" s="2" t="b">
        <v>1</v>
      </c>
      <c r="P55" s="2">
        <f t="shared" si="1"/>
        <v>279.95999999999998</v>
      </c>
    </row>
    <row r="56" spans="1:16" x14ac:dyDescent="0.35">
      <c r="A56" s="2" t="s">
        <v>134</v>
      </c>
      <c r="B56" s="2" t="s">
        <v>135</v>
      </c>
      <c r="C56" s="3">
        <v>45690</v>
      </c>
      <c r="D56" s="2" t="s">
        <v>20</v>
      </c>
      <c r="E56" s="2" t="s">
        <v>47</v>
      </c>
      <c r="F56" s="2">
        <v>4</v>
      </c>
      <c r="G56" s="2">
        <v>69.989999999999995</v>
      </c>
      <c r="H56" s="2">
        <v>279.95999999999998</v>
      </c>
      <c r="I56" s="2" t="s">
        <v>38</v>
      </c>
      <c r="J56" s="2" t="str">
        <f t="shared" si="0"/>
        <v>Feb</v>
      </c>
      <c r="K56" s="4">
        <f>IF(AND(ISNUMBER(Lab2_Dataset[[#This Row],[Revenue]]), ISNUMBER(Lab2_Dataset[[#This Row],[Quantity]]), Lab2_Dataset[[#This Row],[Quantity]]&lt;&gt;0), Lab2_Dataset[[#This Row],[Revenue]]/Lab2_Dataset[[#This Row],[Quantity]], "")</f>
        <v>69.989999999999995</v>
      </c>
      <c r="O56" s="2" t="b">
        <v>0</v>
      </c>
      <c r="P56" s="2">
        <f t="shared" si="1"/>
        <v>912.66000000000008</v>
      </c>
    </row>
    <row r="57" spans="1:16" x14ac:dyDescent="0.35">
      <c r="A57" s="2" t="s">
        <v>136</v>
      </c>
      <c r="B57" s="2" t="s">
        <v>137</v>
      </c>
      <c r="C57" s="3">
        <v>45197</v>
      </c>
      <c r="D57" s="2" t="s">
        <v>34</v>
      </c>
      <c r="E57" s="2" t="s">
        <v>24</v>
      </c>
      <c r="F57" s="2">
        <v>6</v>
      </c>
      <c r="G57" s="2">
        <v>152.11000000000001</v>
      </c>
      <c r="H57" s="2">
        <v>912.66</v>
      </c>
      <c r="I57" s="2" t="s">
        <v>38</v>
      </c>
      <c r="J57" s="2" t="str">
        <f t="shared" si="0"/>
        <v>Sep</v>
      </c>
      <c r="K57" s="4">
        <f>IF(AND(ISNUMBER(Lab2_Dataset[[#This Row],[Revenue]]), ISNUMBER(Lab2_Dataset[[#This Row],[Quantity]]), Lab2_Dataset[[#This Row],[Quantity]]&lt;&gt;0), Lab2_Dataset[[#This Row],[Revenue]]/Lab2_Dataset[[#This Row],[Quantity]], "")</f>
        <v>152.10999999999999</v>
      </c>
      <c r="O57" s="2" t="b">
        <v>0</v>
      </c>
      <c r="P57" s="2">
        <f t="shared" si="1"/>
        <v>272.5</v>
      </c>
    </row>
    <row r="58" spans="1:16" x14ac:dyDescent="0.35">
      <c r="A58" s="2" t="s">
        <v>138</v>
      </c>
      <c r="B58" s="2" t="s">
        <v>139</v>
      </c>
      <c r="C58" s="3">
        <v>45188</v>
      </c>
      <c r="D58" s="2" t="s">
        <v>37</v>
      </c>
      <c r="E58" s="2" t="s">
        <v>24</v>
      </c>
      <c r="F58" s="2">
        <v>2</v>
      </c>
      <c r="G58" s="2">
        <v>136.25</v>
      </c>
      <c r="H58" s="2">
        <v>272.5</v>
      </c>
      <c r="I58" s="2" t="s">
        <v>31</v>
      </c>
      <c r="J58" s="2" t="str">
        <f t="shared" si="0"/>
        <v>Sep</v>
      </c>
      <c r="K58" s="4">
        <f>IF(AND(ISNUMBER(Lab2_Dataset[[#This Row],[Revenue]]), ISNUMBER(Lab2_Dataset[[#This Row],[Quantity]]), Lab2_Dataset[[#This Row],[Quantity]]&lt;&gt;0), Lab2_Dataset[[#This Row],[Revenue]]/Lab2_Dataset[[#This Row],[Quantity]], "")</f>
        <v>136.25</v>
      </c>
      <c r="O58" s="2" t="b">
        <v>0</v>
      </c>
      <c r="P58" s="2">
        <f t="shared" si="1"/>
        <v>374.98</v>
      </c>
    </row>
    <row r="59" spans="1:16" x14ac:dyDescent="0.35">
      <c r="A59" s="2" t="s">
        <v>140</v>
      </c>
      <c r="B59" s="2" t="s">
        <v>141</v>
      </c>
      <c r="C59" s="3">
        <v>45175</v>
      </c>
      <c r="D59" s="2" t="s">
        <v>34</v>
      </c>
      <c r="E59" s="2" t="s">
        <v>28</v>
      </c>
      <c r="F59" s="2">
        <v>2</v>
      </c>
      <c r="G59" s="2">
        <v>187.49</v>
      </c>
      <c r="H59" s="2">
        <v>374.98</v>
      </c>
      <c r="I59" s="2" t="s">
        <v>21</v>
      </c>
      <c r="J59" s="2" t="str">
        <f t="shared" si="0"/>
        <v>Sep</v>
      </c>
      <c r="K59" s="4">
        <f>IF(AND(ISNUMBER(Lab2_Dataset[[#This Row],[Revenue]]), ISNUMBER(Lab2_Dataset[[#This Row],[Quantity]]), Lab2_Dataset[[#This Row],[Quantity]]&lt;&gt;0), Lab2_Dataset[[#This Row],[Revenue]]/Lab2_Dataset[[#This Row],[Quantity]], "")</f>
        <v>187.49</v>
      </c>
      <c r="O59" s="2" t="b">
        <v>0</v>
      </c>
      <c r="P59" s="2" t="str">
        <f t="shared" si="1"/>
        <v/>
      </c>
    </row>
    <row r="60" spans="1:16" x14ac:dyDescent="0.35">
      <c r="A60" s="2" t="s">
        <v>142</v>
      </c>
      <c r="B60" s="2" t="s">
        <v>143</v>
      </c>
      <c r="C60" s="3">
        <v>45535</v>
      </c>
      <c r="D60" s="2" t="s">
        <v>34</v>
      </c>
      <c r="E60" s="2" t="s">
        <v>16</v>
      </c>
      <c r="G60" s="2">
        <v>17.12</v>
      </c>
      <c r="I60" s="2" t="s">
        <v>38</v>
      </c>
      <c r="J60" s="2" t="str">
        <f t="shared" si="0"/>
        <v>Aug</v>
      </c>
      <c r="K6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" s="2" t="b">
        <v>1</v>
      </c>
      <c r="P60" s="2">
        <f t="shared" si="1"/>
        <v>496.56</v>
      </c>
    </row>
    <row r="61" spans="1:16" x14ac:dyDescent="0.35">
      <c r="A61" s="2" t="s">
        <v>144</v>
      </c>
      <c r="B61" s="2" t="s">
        <v>145</v>
      </c>
      <c r="C61" s="3">
        <v>45200</v>
      </c>
      <c r="D61" s="2" t="s">
        <v>27</v>
      </c>
      <c r="E61" s="2" t="s">
        <v>28</v>
      </c>
      <c r="F61" s="2">
        <v>8</v>
      </c>
      <c r="G61" s="2">
        <v>62.07</v>
      </c>
      <c r="H61" s="2">
        <v>496.56</v>
      </c>
      <c r="I61" s="2" t="s">
        <v>38</v>
      </c>
      <c r="J61" s="2" t="str">
        <f t="shared" si="0"/>
        <v>Oct</v>
      </c>
      <c r="K61" s="4">
        <f>IF(AND(ISNUMBER(Lab2_Dataset[[#This Row],[Revenue]]), ISNUMBER(Lab2_Dataset[[#This Row],[Quantity]]), Lab2_Dataset[[#This Row],[Quantity]]&lt;&gt;0), Lab2_Dataset[[#This Row],[Revenue]]/Lab2_Dataset[[#This Row],[Quantity]], "")</f>
        <v>62.07</v>
      </c>
      <c r="O61" s="2" t="b">
        <v>0</v>
      </c>
      <c r="P61" s="2" t="str">
        <f t="shared" si="1"/>
        <v/>
      </c>
    </row>
    <row r="62" spans="1:16" x14ac:dyDescent="0.35">
      <c r="A62" s="2" t="s">
        <v>146</v>
      </c>
      <c r="B62" s="2" t="s">
        <v>147</v>
      </c>
      <c r="C62" s="3">
        <v>45306</v>
      </c>
      <c r="D62" s="2" t="s">
        <v>20</v>
      </c>
      <c r="E62" s="2" t="s">
        <v>28</v>
      </c>
      <c r="G62" s="2">
        <v>113.09</v>
      </c>
      <c r="I62" s="2" t="s">
        <v>13</v>
      </c>
      <c r="J62" s="2" t="str">
        <f t="shared" si="0"/>
        <v>Jan</v>
      </c>
      <c r="K6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2" s="2" t="b">
        <v>1</v>
      </c>
      <c r="P62" s="2">
        <f t="shared" si="1"/>
        <v>683.37000000000012</v>
      </c>
    </row>
    <row r="63" spans="1:16" x14ac:dyDescent="0.35">
      <c r="A63" s="2" t="s">
        <v>148</v>
      </c>
      <c r="B63" s="2" t="s">
        <v>149</v>
      </c>
      <c r="C63" s="3">
        <v>45293</v>
      </c>
      <c r="D63" s="2" t="s">
        <v>37</v>
      </c>
      <c r="E63" s="2" t="s">
        <v>24</v>
      </c>
      <c r="F63" s="2">
        <v>9</v>
      </c>
      <c r="G63" s="2">
        <v>75.930000000000007</v>
      </c>
      <c r="H63" s="2">
        <v>683.37</v>
      </c>
      <c r="I63" s="2" t="s">
        <v>21</v>
      </c>
      <c r="J63" s="2" t="str">
        <f t="shared" si="0"/>
        <v>Jan</v>
      </c>
      <c r="K63" s="4">
        <f>IF(AND(ISNUMBER(Lab2_Dataset[[#This Row],[Revenue]]), ISNUMBER(Lab2_Dataset[[#This Row],[Quantity]]), Lab2_Dataset[[#This Row],[Quantity]]&lt;&gt;0), Lab2_Dataset[[#This Row],[Revenue]]/Lab2_Dataset[[#This Row],[Quantity]], "")</f>
        <v>75.930000000000007</v>
      </c>
      <c r="O63" s="2" t="b">
        <v>0</v>
      </c>
      <c r="P63" s="2" t="str">
        <f t="shared" si="1"/>
        <v/>
      </c>
    </row>
    <row r="64" spans="1:16" x14ac:dyDescent="0.35">
      <c r="A64" s="2" t="s">
        <v>150</v>
      </c>
      <c r="B64" s="2" t="s">
        <v>151</v>
      </c>
      <c r="C64" s="3">
        <v>45742</v>
      </c>
      <c r="D64" s="2" t="s">
        <v>11</v>
      </c>
      <c r="E64" s="2" t="s">
        <v>28</v>
      </c>
      <c r="G64" s="2">
        <v>125.63</v>
      </c>
      <c r="I64" s="2" t="s">
        <v>17</v>
      </c>
      <c r="J64" s="2" t="str">
        <f t="shared" si="0"/>
        <v>Mar</v>
      </c>
      <c r="K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4" s="2" t="b">
        <v>1</v>
      </c>
      <c r="P64" s="2">
        <f t="shared" si="1"/>
        <v>908.1</v>
      </c>
    </row>
    <row r="65" spans="1:16" x14ac:dyDescent="0.35">
      <c r="A65" s="2" t="s">
        <v>152</v>
      </c>
      <c r="B65" s="2" t="s">
        <v>153</v>
      </c>
      <c r="C65" s="3">
        <v>45187</v>
      </c>
      <c r="D65" s="2" t="s">
        <v>11</v>
      </c>
      <c r="E65" s="2" t="s">
        <v>12</v>
      </c>
      <c r="F65" s="2">
        <v>5</v>
      </c>
      <c r="G65" s="2">
        <v>181.62</v>
      </c>
      <c r="I65" s="2" t="s">
        <v>13</v>
      </c>
      <c r="J65" s="2" t="str">
        <f t="shared" si="0"/>
        <v>Sep</v>
      </c>
      <c r="K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" s="2" t="b">
        <v>0</v>
      </c>
      <c r="P65" s="2">
        <f t="shared" si="1"/>
        <v>337.18</v>
      </c>
    </row>
    <row r="66" spans="1:16" x14ac:dyDescent="0.35">
      <c r="A66" s="2" t="s">
        <v>154</v>
      </c>
      <c r="B66" s="2" t="s">
        <v>155</v>
      </c>
      <c r="C66" s="3">
        <v>45399</v>
      </c>
      <c r="D66" s="2" t="s">
        <v>37</v>
      </c>
      <c r="E66" s="2" t="s">
        <v>47</v>
      </c>
      <c r="F66" s="2">
        <v>2</v>
      </c>
      <c r="G66" s="2">
        <v>168.59</v>
      </c>
      <c r="H66" s="2">
        <v>337.18</v>
      </c>
      <c r="I66" s="2" t="s">
        <v>17</v>
      </c>
      <c r="J66" s="2" t="str">
        <f t="shared" ref="J66:J129" si="2">TEXT(C66,"mmm")</f>
        <v>Apr</v>
      </c>
      <c r="K66" s="4">
        <f>IF(AND(ISNUMBER(Lab2_Dataset[[#This Row],[Revenue]]), ISNUMBER(Lab2_Dataset[[#This Row],[Quantity]]), Lab2_Dataset[[#This Row],[Quantity]]&lt;&gt;0), Lab2_Dataset[[#This Row],[Revenue]]/Lab2_Dataset[[#This Row],[Quantity]], "")</f>
        <v>168.59</v>
      </c>
      <c r="O66" s="2" t="b">
        <v>0</v>
      </c>
      <c r="P66" s="2">
        <f t="shared" si="1"/>
        <v>538.95000000000005</v>
      </c>
    </row>
    <row r="67" spans="1:16" x14ac:dyDescent="0.35">
      <c r="A67" s="2" t="s">
        <v>156</v>
      </c>
      <c r="B67" s="2" t="s">
        <v>157</v>
      </c>
      <c r="C67" s="3">
        <v>45545</v>
      </c>
      <c r="D67" s="2" t="s">
        <v>27</v>
      </c>
      <c r="E67" s="2" t="s">
        <v>24</v>
      </c>
      <c r="F67" s="2">
        <v>5</v>
      </c>
      <c r="G67" s="2">
        <v>107.79</v>
      </c>
      <c r="H67" s="2">
        <v>538.95000000000005</v>
      </c>
      <c r="I67" s="2" t="s">
        <v>38</v>
      </c>
      <c r="J67" s="2" t="str">
        <f t="shared" si="2"/>
        <v>Sep</v>
      </c>
      <c r="K67" s="4">
        <f>IF(AND(ISNUMBER(Lab2_Dataset[[#This Row],[Revenue]]), ISNUMBER(Lab2_Dataset[[#This Row],[Quantity]]), Lab2_Dataset[[#This Row],[Quantity]]&lt;&gt;0), Lab2_Dataset[[#This Row],[Revenue]]/Lab2_Dataset[[#This Row],[Quantity]], "")</f>
        <v>107.79</v>
      </c>
      <c r="O67" s="2" t="b">
        <v>0</v>
      </c>
      <c r="P67" s="2">
        <f t="shared" ref="P67:P130" si="3">IF(O68=TRUE,"",F68*G68)</f>
        <v>470.4</v>
      </c>
    </row>
    <row r="68" spans="1:16" x14ac:dyDescent="0.35">
      <c r="A68" s="2" t="s">
        <v>158</v>
      </c>
      <c r="B68" s="2" t="s">
        <v>159</v>
      </c>
      <c r="C68" s="3">
        <v>45432</v>
      </c>
      <c r="D68" s="2" t="s">
        <v>34</v>
      </c>
      <c r="E68" s="2" t="s">
        <v>24</v>
      </c>
      <c r="F68" s="2">
        <v>8</v>
      </c>
      <c r="G68" s="2">
        <v>58.8</v>
      </c>
      <c r="H68" s="2">
        <v>470.4</v>
      </c>
      <c r="I68" s="2" t="s">
        <v>38</v>
      </c>
      <c r="J68" s="2" t="str">
        <f t="shared" si="2"/>
        <v>May</v>
      </c>
      <c r="K68" s="4">
        <f>IF(AND(ISNUMBER(Lab2_Dataset[[#This Row],[Revenue]]), ISNUMBER(Lab2_Dataset[[#This Row],[Quantity]]), Lab2_Dataset[[#This Row],[Quantity]]&lt;&gt;0), Lab2_Dataset[[#This Row],[Revenue]]/Lab2_Dataset[[#This Row],[Quantity]], "")</f>
        <v>58.8</v>
      </c>
      <c r="O68" s="2" t="b">
        <v>0</v>
      </c>
      <c r="P68" s="2" t="str">
        <f t="shared" si="3"/>
        <v/>
      </c>
    </row>
    <row r="69" spans="1:16" x14ac:dyDescent="0.35">
      <c r="A69" s="2" t="s">
        <v>160</v>
      </c>
      <c r="B69" s="2" t="s">
        <v>161</v>
      </c>
      <c r="C69" s="3">
        <v>45524</v>
      </c>
      <c r="D69" s="2" t="s">
        <v>27</v>
      </c>
      <c r="E69" s="2" t="s">
        <v>16</v>
      </c>
      <c r="G69" s="2">
        <v>80.63</v>
      </c>
      <c r="I69" s="2" t="s">
        <v>13</v>
      </c>
      <c r="J69" s="2" t="str">
        <f t="shared" si="2"/>
        <v>Aug</v>
      </c>
      <c r="K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" s="2" t="b">
        <v>1</v>
      </c>
      <c r="P69" s="2">
        <f t="shared" si="3"/>
        <v>551.97</v>
      </c>
    </row>
    <row r="70" spans="1:16" x14ac:dyDescent="0.35">
      <c r="A70" s="2" t="s">
        <v>162</v>
      </c>
      <c r="B70" s="2" t="s">
        <v>163</v>
      </c>
      <c r="C70" s="3">
        <v>45090</v>
      </c>
      <c r="D70" s="2" t="s">
        <v>27</v>
      </c>
      <c r="E70" s="2" t="s">
        <v>16</v>
      </c>
      <c r="F70" s="2">
        <v>9</v>
      </c>
      <c r="G70" s="2">
        <v>61.33</v>
      </c>
      <c r="H70" s="2">
        <v>551.97</v>
      </c>
      <c r="I70" s="2" t="s">
        <v>17</v>
      </c>
      <c r="J70" s="2" t="str">
        <f t="shared" si="2"/>
        <v>Jun</v>
      </c>
      <c r="K70" s="4">
        <f>IF(AND(ISNUMBER(Lab2_Dataset[[#This Row],[Revenue]]), ISNUMBER(Lab2_Dataset[[#This Row],[Quantity]]), Lab2_Dataset[[#This Row],[Quantity]]&lt;&gt;0), Lab2_Dataset[[#This Row],[Revenue]]/Lab2_Dataset[[#This Row],[Quantity]], "")</f>
        <v>61.330000000000005</v>
      </c>
      <c r="O70" s="2" t="b">
        <v>0</v>
      </c>
      <c r="P70" s="2">
        <f t="shared" si="3"/>
        <v>196.31</v>
      </c>
    </row>
    <row r="71" spans="1:16" x14ac:dyDescent="0.35">
      <c r="A71" s="2" t="s">
        <v>164</v>
      </c>
      <c r="B71" s="2" t="s">
        <v>165</v>
      </c>
      <c r="C71" s="3">
        <v>45146</v>
      </c>
      <c r="D71" s="2" t="s">
        <v>34</v>
      </c>
      <c r="E71" s="2" t="s">
        <v>24</v>
      </c>
      <c r="F71" s="2">
        <v>1</v>
      </c>
      <c r="G71" s="2">
        <v>196.31</v>
      </c>
      <c r="H71" s="2">
        <v>196.31</v>
      </c>
      <c r="I71" s="2" t="s">
        <v>13</v>
      </c>
      <c r="J71" s="2" t="str">
        <f t="shared" si="2"/>
        <v>Aug</v>
      </c>
      <c r="K71" s="4">
        <f>IF(AND(ISNUMBER(Lab2_Dataset[[#This Row],[Revenue]]), ISNUMBER(Lab2_Dataset[[#This Row],[Quantity]]), Lab2_Dataset[[#This Row],[Quantity]]&lt;&gt;0), Lab2_Dataset[[#This Row],[Revenue]]/Lab2_Dataset[[#This Row],[Quantity]], "")</f>
        <v>196.31</v>
      </c>
      <c r="O71" s="2" t="b">
        <v>0</v>
      </c>
      <c r="P71" s="2">
        <f t="shared" si="3"/>
        <v>684.18</v>
      </c>
    </row>
    <row r="72" spans="1:16" x14ac:dyDescent="0.35">
      <c r="A72" s="2" t="s">
        <v>166</v>
      </c>
      <c r="B72" s="2" t="s">
        <v>167</v>
      </c>
      <c r="C72" s="3">
        <v>45141</v>
      </c>
      <c r="D72" s="2" t="s">
        <v>11</v>
      </c>
      <c r="E72" s="2" t="s">
        <v>24</v>
      </c>
      <c r="F72" s="2">
        <v>9</v>
      </c>
      <c r="G72" s="2">
        <v>76.02</v>
      </c>
      <c r="H72" s="2">
        <v>684.18</v>
      </c>
      <c r="I72" s="2" t="s">
        <v>17</v>
      </c>
      <c r="J72" s="2" t="str">
        <f t="shared" si="2"/>
        <v>Aug</v>
      </c>
      <c r="K72" s="4">
        <f>IF(AND(ISNUMBER(Lab2_Dataset[[#This Row],[Revenue]]), ISNUMBER(Lab2_Dataset[[#This Row],[Quantity]]), Lab2_Dataset[[#This Row],[Quantity]]&lt;&gt;0), Lab2_Dataset[[#This Row],[Revenue]]/Lab2_Dataset[[#This Row],[Quantity]], "")</f>
        <v>76.02</v>
      </c>
      <c r="O72" s="2" t="b">
        <v>0</v>
      </c>
      <c r="P72" s="2" t="str">
        <f t="shared" si="3"/>
        <v/>
      </c>
    </row>
    <row r="73" spans="1:16" x14ac:dyDescent="0.35">
      <c r="A73" s="2" t="s">
        <v>168</v>
      </c>
      <c r="B73" s="2" t="s">
        <v>169</v>
      </c>
      <c r="C73" s="3">
        <v>45202</v>
      </c>
      <c r="D73" s="2" t="s">
        <v>27</v>
      </c>
      <c r="E73" s="2" t="s">
        <v>16</v>
      </c>
      <c r="G73" s="2">
        <v>51.21</v>
      </c>
      <c r="I73" s="2" t="s">
        <v>52</v>
      </c>
      <c r="J73" s="2" t="str">
        <f t="shared" si="2"/>
        <v>Oct</v>
      </c>
      <c r="K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" s="2" t="b">
        <v>1</v>
      </c>
      <c r="P73" s="2">
        <f t="shared" si="3"/>
        <v>1481.31</v>
      </c>
    </row>
    <row r="74" spans="1:16" x14ac:dyDescent="0.35">
      <c r="A74" s="2" t="s">
        <v>170</v>
      </c>
      <c r="B74" s="2" t="s">
        <v>171</v>
      </c>
      <c r="C74" s="3">
        <v>45636</v>
      </c>
      <c r="D74" s="2" t="s">
        <v>37</v>
      </c>
      <c r="E74" s="2" t="s">
        <v>28</v>
      </c>
      <c r="F74" s="2">
        <v>9</v>
      </c>
      <c r="G74" s="2">
        <v>164.59</v>
      </c>
      <c r="H74" s="2">
        <v>1481.31</v>
      </c>
      <c r="I74" s="2" t="s">
        <v>31</v>
      </c>
      <c r="J74" s="2" t="str">
        <f t="shared" si="2"/>
        <v>Dec</v>
      </c>
      <c r="K74" s="4">
        <f>IF(AND(ISNUMBER(Lab2_Dataset[[#This Row],[Revenue]]), ISNUMBER(Lab2_Dataset[[#This Row],[Quantity]]), Lab2_Dataset[[#This Row],[Quantity]]&lt;&gt;0), Lab2_Dataset[[#This Row],[Revenue]]/Lab2_Dataset[[#This Row],[Quantity]], "")</f>
        <v>164.59</v>
      </c>
      <c r="O74" s="2" t="b">
        <v>0</v>
      </c>
      <c r="P74" s="2" t="str">
        <f t="shared" si="3"/>
        <v/>
      </c>
    </row>
    <row r="75" spans="1:16" x14ac:dyDescent="0.35">
      <c r="A75" s="2" t="s">
        <v>172</v>
      </c>
      <c r="B75" s="2" t="s">
        <v>173</v>
      </c>
      <c r="C75" s="3">
        <v>45520</v>
      </c>
      <c r="D75" s="2" t="s">
        <v>37</v>
      </c>
      <c r="E75" s="2" t="s">
        <v>12</v>
      </c>
      <c r="G75" s="2">
        <v>139.71</v>
      </c>
      <c r="I75" s="2" t="s">
        <v>13</v>
      </c>
      <c r="J75" s="2" t="str">
        <f t="shared" si="2"/>
        <v>Aug</v>
      </c>
      <c r="K7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" s="2" t="b">
        <v>1</v>
      </c>
      <c r="P75" s="2" t="str">
        <f t="shared" si="3"/>
        <v/>
      </c>
    </row>
    <row r="76" spans="1:16" x14ac:dyDescent="0.35">
      <c r="A76" s="2" t="s">
        <v>174</v>
      </c>
      <c r="B76" s="2" t="s">
        <v>175</v>
      </c>
      <c r="C76" s="3">
        <v>45700</v>
      </c>
      <c r="D76" s="2" t="s">
        <v>20</v>
      </c>
      <c r="E76" s="2" t="s">
        <v>16</v>
      </c>
      <c r="G76" s="2">
        <v>93.23</v>
      </c>
      <c r="I76" s="2" t="s">
        <v>13</v>
      </c>
      <c r="J76" s="2" t="str">
        <f t="shared" si="2"/>
        <v>Feb</v>
      </c>
      <c r="K7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" s="2" t="b">
        <v>1</v>
      </c>
      <c r="P76" s="2" t="str">
        <f t="shared" si="3"/>
        <v/>
      </c>
    </row>
    <row r="77" spans="1:16" x14ac:dyDescent="0.35">
      <c r="A77" s="2" t="s">
        <v>176</v>
      </c>
      <c r="B77" s="2" t="s">
        <v>177</v>
      </c>
      <c r="C77" s="3">
        <v>45656</v>
      </c>
      <c r="D77" s="2" t="s">
        <v>37</v>
      </c>
      <c r="E77" s="2" t="s">
        <v>24</v>
      </c>
      <c r="G77" s="2">
        <v>26.96</v>
      </c>
      <c r="I77" s="2" t="s">
        <v>31</v>
      </c>
      <c r="J77" s="2" t="str">
        <f t="shared" si="2"/>
        <v>Dec</v>
      </c>
      <c r="K7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" s="2" t="b">
        <v>1</v>
      </c>
      <c r="P77" s="2" t="str">
        <f t="shared" si="3"/>
        <v/>
      </c>
    </row>
    <row r="78" spans="1:16" x14ac:dyDescent="0.35">
      <c r="A78" s="2" t="s">
        <v>178</v>
      </c>
      <c r="B78" s="2" t="s">
        <v>179</v>
      </c>
      <c r="C78" s="3">
        <v>45117</v>
      </c>
      <c r="D78" s="2" t="s">
        <v>37</v>
      </c>
      <c r="E78" s="2" t="s">
        <v>28</v>
      </c>
      <c r="G78" s="2">
        <v>81.73</v>
      </c>
      <c r="I78" s="2" t="s">
        <v>31</v>
      </c>
      <c r="J78" s="2" t="str">
        <f t="shared" si="2"/>
        <v>Jul</v>
      </c>
      <c r="K7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" s="2" t="b">
        <v>1</v>
      </c>
      <c r="P78" s="2">
        <f t="shared" si="3"/>
        <v>561.51</v>
      </c>
    </row>
    <row r="79" spans="1:16" x14ac:dyDescent="0.35">
      <c r="A79" s="2" t="s">
        <v>180</v>
      </c>
      <c r="B79" s="2" t="s">
        <v>181</v>
      </c>
      <c r="C79" s="3">
        <v>45397</v>
      </c>
      <c r="D79" s="2" t="s">
        <v>69</v>
      </c>
      <c r="E79" s="2" t="s">
        <v>47</v>
      </c>
      <c r="F79" s="2">
        <v>3</v>
      </c>
      <c r="G79" s="2">
        <v>187.17</v>
      </c>
      <c r="H79" s="2">
        <v>561.51</v>
      </c>
      <c r="I79" s="2" t="s">
        <v>21</v>
      </c>
      <c r="J79" s="2" t="str">
        <f t="shared" si="2"/>
        <v>Apr</v>
      </c>
      <c r="K79" s="4">
        <f>IF(AND(ISNUMBER(Lab2_Dataset[[#This Row],[Revenue]]), ISNUMBER(Lab2_Dataset[[#This Row],[Quantity]]), Lab2_Dataset[[#This Row],[Quantity]]&lt;&gt;0), Lab2_Dataset[[#This Row],[Revenue]]/Lab2_Dataset[[#This Row],[Quantity]], "")</f>
        <v>187.17</v>
      </c>
      <c r="O79" s="2" t="b">
        <v>0</v>
      </c>
      <c r="P79" s="2">
        <f t="shared" si="3"/>
        <v>53.68</v>
      </c>
    </row>
    <row r="80" spans="1:16" x14ac:dyDescent="0.35">
      <c r="A80" s="2" t="s">
        <v>182</v>
      </c>
      <c r="B80" s="2" t="s">
        <v>183</v>
      </c>
      <c r="C80" s="3">
        <v>45088</v>
      </c>
      <c r="D80" s="2" t="s">
        <v>69</v>
      </c>
      <c r="E80" s="2" t="s">
        <v>47</v>
      </c>
      <c r="F80" s="2">
        <v>1</v>
      </c>
      <c r="G80" s="2">
        <v>53.68</v>
      </c>
      <c r="H80" s="2">
        <v>53.68</v>
      </c>
      <c r="I80" s="2" t="s">
        <v>21</v>
      </c>
      <c r="J80" s="2" t="str">
        <f t="shared" si="2"/>
        <v>Jun</v>
      </c>
      <c r="K80" s="4">
        <f>IF(AND(ISNUMBER(Lab2_Dataset[[#This Row],[Revenue]]), ISNUMBER(Lab2_Dataset[[#This Row],[Quantity]]), Lab2_Dataset[[#This Row],[Quantity]]&lt;&gt;0), Lab2_Dataset[[#This Row],[Revenue]]/Lab2_Dataset[[#This Row],[Quantity]], "")</f>
        <v>53.68</v>
      </c>
      <c r="O80" s="2" t="b">
        <v>0</v>
      </c>
      <c r="P80" s="2" t="str">
        <f t="shared" si="3"/>
        <v/>
      </c>
    </row>
    <row r="81" spans="1:16" x14ac:dyDescent="0.35">
      <c r="A81" s="2" t="s">
        <v>184</v>
      </c>
      <c r="B81" s="2" t="s">
        <v>185</v>
      </c>
      <c r="C81" s="3">
        <v>45554</v>
      </c>
      <c r="D81" s="2" t="s">
        <v>27</v>
      </c>
      <c r="E81" s="2" t="s">
        <v>28</v>
      </c>
      <c r="G81" s="2">
        <v>180.57</v>
      </c>
      <c r="I81" s="2" t="s">
        <v>13</v>
      </c>
      <c r="J81" s="2" t="str">
        <f t="shared" si="2"/>
        <v>Sep</v>
      </c>
      <c r="K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" s="2" t="b">
        <v>1</v>
      </c>
      <c r="P81" s="2" t="str">
        <f t="shared" si="3"/>
        <v/>
      </c>
    </row>
    <row r="82" spans="1:16" x14ac:dyDescent="0.35">
      <c r="A82" s="2" t="s">
        <v>186</v>
      </c>
      <c r="B82" s="2" t="s">
        <v>187</v>
      </c>
      <c r="C82" s="3">
        <v>45635</v>
      </c>
      <c r="D82" s="2" t="s">
        <v>11</v>
      </c>
      <c r="E82" s="2" t="s">
        <v>12</v>
      </c>
      <c r="G82" s="2">
        <v>186.74</v>
      </c>
      <c r="I82" s="2" t="s">
        <v>52</v>
      </c>
      <c r="J82" s="2" t="str">
        <f t="shared" si="2"/>
        <v>Dec</v>
      </c>
      <c r="K8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2" s="2" t="b">
        <v>1</v>
      </c>
      <c r="P82" s="2" t="str">
        <f t="shared" si="3"/>
        <v/>
      </c>
    </row>
    <row r="83" spans="1:16" x14ac:dyDescent="0.35">
      <c r="A83" s="2" t="s">
        <v>188</v>
      </c>
      <c r="B83" s="2" t="s">
        <v>189</v>
      </c>
      <c r="C83" s="3">
        <v>45293</v>
      </c>
      <c r="D83" s="2" t="s">
        <v>27</v>
      </c>
      <c r="E83" s="2" t="s">
        <v>16</v>
      </c>
      <c r="G83" s="2">
        <v>27.49</v>
      </c>
      <c r="I83" s="2" t="s">
        <v>31</v>
      </c>
      <c r="J83" s="2" t="str">
        <f t="shared" si="2"/>
        <v>Jan</v>
      </c>
      <c r="K8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" s="2" t="b">
        <v>1</v>
      </c>
      <c r="P83" s="2">
        <f t="shared" si="3"/>
        <v>186.56</v>
      </c>
    </row>
    <row r="84" spans="1:16" x14ac:dyDescent="0.35">
      <c r="A84" s="2" t="s">
        <v>190</v>
      </c>
      <c r="B84" s="2" t="s">
        <v>191</v>
      </c>
      <c r="C84" s="3">
        <v>45590</v>
      </c>
      <c r="D84" s="2" t="s">
        <v>27</v>
      </c>
      <c r="E84" s="2" t="s">
        <v>47</v>
      </c>
      <c r="F84" s="2">
        <v>1</v>
      </c>
      <c r="G84" s="2">
        <v>186.56</v>
      </c>
      <c r="H84" s="2">
        <v>186.56</v>
      </c>
      <c r="I84" s="2" t="s">
        <v>52</v>
      </c>
      <c r="J84" s="2" t="str">
        <f t="shared" si="2"/>
        <v>Oct</v>
      </c>
      <c r="K84" s="4">
        <f>IF(AND(ISNUMBER(Lab2_Dataset[[#This Row],[Revenue]]), ISNUMBER(Lab2_Dataset[[#This Row],[Quantity]]), Lab2_Dataset[[#This Row],[Quantity]]&lt;&gt;0), Lab2_Dataset[[#This Row],[Revenue]]/Lab2_Dataset[[#This Row],[Quantity]], "")</f>
        <v>186.56</v>
      </c>
      <c r="O84" s="2" t="b">
        <v>0</v>
      </c>
      <c r="P84" s="2" t="str">
        <f t="shared" si="3"/>
        <v/>
      </c>
    </row>
    <row r="85" spans="1:16" x14ac:dyDescent="0.35">
      <c r="A85" s="2" t="s">
        <v>192</v>
      </c>
      <c r="B85" s="2" t="s">
        <v>193</v>
      </c>
      <c r="C85" s="3">
        <v>45607</v>
      </c>
      <c r="D85" s="2" t="s">
        <v>20</v>
      </c>
      <c r="E85" s="2" t="s">
        <v>16</v>
      </c>
      <c r="G85" s="2">
        <v>19.3</v>
      </c>
      <c r="I85" s="2" t="s">
        <v>21</v>
      </c>
      <c r="J85" s="2" t="str">
        <f t="shared" si="2"/>
        <v>Nov</v>
      </c>
      <c r="K8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" s="2" t="b">
        <v>1</v>
      </c>
      <c r="P85" s="2" t="str">
        <f t="shared" si="3"/>
        <v/>
      </c>
    </row>
    <row r="86" spans="1:16" x14ac:dyDescent="0.35">
      <c r="A86" s="2" t="s">
        <v>194</v>
      </c>
      <c r="B86" s="2" t="s">
        <v>195</v>
      </c>
      <c r="C86" s="3">
        <v>45674</v>
      </c>
      <c r="D86" s="2" t="s">
        <v>69</v>
      </c>
      <c r="E86" s="2" t="s">
        <v>16</v>
      </c>
      <c r="G86" s="2">
        <v>20.32</v>
      </c>
      <c r="I86" s="2" t="s">
        <v>13</v>
      </c>
      <c r="J86" s="2" t="str">
        <f t="shared" si="2"/>
        <v>Jan</v>
      </c>
      <c r="K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6" s="2" t="b">
        <v>1</v>
      </c>
      <c r="P86" s="2">
        <f t="shared" si="3"/>
        <v>532.80000000000007</v>
      </c>
    </row>
    <row r="87" spans="1:16" x14ac:dyDescent="0.35">
      <c r="A87" s="2" t="s">
        <v>196</v>
      </c>
      <c r="B87" s="2" t="s">
        <v>197</v>
      </c>
      <c r="C87" s="3">
        <v>45463</v>
      </c>
      <c r="D87" s="2" t="s">
        <v>11</v>
      </c>
      <c r="E87" s="2" t="s">
        <v>16</v>
      </c>
      <c r="F87" s="2">
        <v>9</v>
      </c>
      <c r="G87" s="2">
        <v>59.2</v>
      </c>
      <c r="I87" s="2" t="s">
        <v>21</v>
      </c>
      <c r="J87" s="2" t="str">
        <f t="shared" si="2"/>
        <v>Jun</v>
      </c>
      <c r="K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7" s="2" t="b">
        <v>0</v>
      </c>
      <c r="P87" s="2" t="str">
        <f t="shared" si="3"/>
        <v/>
      </c>
    </row>
    <row r="88" spans="1:16" x14ac:dyDescent="0.35">
      <c r="A88" s="2" t="s">
        <v>198</v>
      </c>
      <c r="B88" s="2" t="s">
        <v>199</v>
      </c>
      <c r="C88" s="3">
        <v>45122</v>
      </c>
      <c r="D88" s="2" t="s">
        <v>69</v>
      </c>
      <c r="E88" s="2" t="s">
        <v>47</v>
      </c>
      <c r="G88" s="2">
        <v>50.44</v>
      </c>
      <c r="I88" s="2" t="s">
        <v>17</v>
      </c>
      <c r="J88" s="2" t="str">
        <f t="shared" si="2"/>
        <v>Jul</v>
      </c>
      <c r="K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" s="2" t="b">
        <v>1</v>
      </c>
      <c r="P88" s="2" t="str">
        <f t="shared" si="3"/>
        <v/>
      </c>
    </row>
    <row r="89" spans="1:16" x14ac:dyDescent="0.35">
      <c r="A89" s="2" t="s">
        <v>200</v>
      </c>
      <c r="B89" s="2" t="s">
        <v>201</v>
      </c>
      <c r="C89" s="3">
        <v>45061</v>
      </c>
      <c r="D89" s="2" t="s">
        <v>37</v>
      </c>
      <c r="E89" s="2" t="s">
        <v>12</v>
      </c>
      <c r="G89" s="2">
        <v>133.88999999999999</v>
      </c>
      <c r="I89" s="2" t="s">
        <v>21</v>
      </c>
      <c r="J89" s="2" t="str">
        <f t="shared" si="2"/>
        <v>May</v>
      </c>
      <c r="K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" s="2" t="b">
        <v>1</v>
      </c>
      <c r="P89" s="2">
        <f t="shared" si="3"/>
        <v>368.64</v>
      </c>
    </row>
    <row r="90" spans="1:16" x14ac:dyDescent="0.35">
      <c r="A90" s="2" t="s">
        <v>202</v>
      </c>
      <c r="B90" s="2" t="s">
        <v>203</v>
      </c>
      <c r="C90" s="3">
        <v>45171</v>
      </c>
      <c r="D90" s="2" t="s">
        <v>11</v>
      </c>
      <c r="E90" s="2" t="s">
        <v>12</v>
      </c>
      <c r="F90" s="2">
        <v>8</v>
      </c>
      <c r="G90" s="2">
        <v>46.08</v>
      </c>
      <c r="H90" s="2">
        <v>368.64</v>
      </c>
      <c r="I90" s="2" t="s">
        <v>17</v>
      </c>
      <c r="J90" s="2" t="str">
        <f t="shared" si="2"/>
        <v>Sep</v>
      </c>
      <c r="K90" s="4">
        <f>IF(AND(ISNUMBER(Lab2_Dataset[[#This Row],[Revenue]]), ISNUMBER(Lab2_Dataset[[#This Row],[Quantity]]), Lab2_Dataset[[#This Row],[Quantity]]&lt;&gt;0), Lab2_Dataset[[#This Row],[Revenue]]/Lab2_Dataset[[#This Row],[Quantity]], "")</f>
        <v>46.08</v>
      </c>
      <c r="O90" s="2" t="b">
        <v>0</v>
      </c>
      <c r="P90" s="2" t="str">
        <f t="shared" si="3"/>
        <v/>
      </c>
    </row>
    <row r="91" spans="1:16" x14ac:dyDescent="0.35">
      <c r="A91" s="2" t="s">
        <v>204</v>
      </c>
      <c r="B91" s="2" t="s">
        <v>205</v>
      </c>
      <c r="C91" s="3">
        <v>45505</v>
      </c>
      <c r="D91" s="2" t="s">
        <v>20</v>
      </c>
      <c r="E91" s="2" t="s">
        <v>28</v>
      </c>
      <c r="G91" s="2">
        <v>174.72</v>
      </c>
      <c r="I91" s="2" t="s">
        <v>52</v>
      </c>
      <c r="J91" s="2" t="str">
        <f t="shared" si="2"/>
        <v>Aug</v>
      </c>
      <c r="K9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1" s="2" t="b">
        <v>1</v>
      </c>
      <c r="P91" s="2">
        <f t="shared" si="3"/>
        <v>28.84</v>
      </c>
    </row>
    <row r="92" spans="1:16" x14ac:dyDescent="0.35">
      <c r="A92" s="2" t="s">
        <v>206</v>
      </c>
      <c r="B92" s="2" t="s">
        <v>207</v>
      </c>
      <c r="C92" s="3">
        <v>45179</v>
      </c>
      <c r="D92" s="2" t="s">
        <v>20</v>
      </c>
      <c r="E92" s="2" t="s">
        <v>47</v>
      </c>
      <c r="F92" s="2">
        <v>1</v>
      </c>
      <c r="G92" s="2">
        <v>28.84</v>
      </c>
      <c r="H92" s="2">
        <v>28.84</v>
      </c>
      <c r="I92" s="2" t="s">
        <v>52</v>
      </c>
      <c r="J92" s="2" t="str">
        <f t="shared" si="2"/>
        <v>Sep</v>
      </c>
      <c r="K92" s="4">
        <f>IF(AND(ISNUMBER(Lab2_Dataset[[#This Row],[Revenue]]), ISNUMBER(Lab2_Dataset[[#This Row],[Quantity]]), Lab2_Dataset[[#This Row],[Quantity]]&lt;&gt;0), Lab2_Dataset[[#This Row],[Revenue]]/Lab2_Dataset[[#This Row],[Quantity]], "")</f>
        <v>28.84</v>
      </c>
      <c r="O92" s="2" t="b">
        <v>0</v>
      </c>
      <c r="P92" s="2">
        <f t="shared" si="3"/>
        <v>155.12</v>
      </c>
    </row>
    <row r="93" spans="1:16" x14ac:dyDescent="0.35">
      <c r="A93" s="2" t="s">
        <v>208</v>
      </c>
      <c r="B93" s="2" t="s">
        <v>209</v>
      </c>
      <c r="C93" s="3">
        <v>45652</v>
      </c>
      <c r="D93" s="2" t="s">
        <v>69</v>
      </c>
      <c r="E93" s="2" t="s">
        <v>28</v>
      </c>
      <c r="F93" s="2">
        <v>7</v>
      </c>
      <c r="G93" s="2">
        <v>22.16</v>
      </c>
      <c r="H93" s="2">
        <v>155.12</v>
      </c>
      <c r="I93" s="2" t="s">
        <v>13</v>
      </c>
      <c r="J93" s="2" t="str">
        <f t="shared" si="2"/>
        <v>Dec</v>
      </c>
      <c r="K93" s="4">
        <f>IF(AND(ISNUMBER(Lab2_Dataset[[#This Row],[Revenue]]), ISNUMBER(Lab2_Dataset[[#This Row],[Quantity]]), Lab2_Dataset[[#This Row],[Quantity]]&lt;&gt;0), Lab2_Dataset[[#This Row],[Revenue]]/Lab2_Dataset[[#This Row],[Quantity]], "")</f>
        <v>22.16</v>
      </c>
      <c r="O93" s="2" t="b">
        <v>0</v>
      </c>
      <c r="P93" s="2">
        <f t="shared" si="3"/>
        <v>820.05000000000007</v>
      </c>
    </row>
    <row r="94" spans="1:16" x14ac:dyDescent="0.35">
      <c r="A94" s="2" t="s">
        <v>210</v>
      </c>
      <c r="B94" s="2" t="s">
        <v>211</v>
      </c>
      <c r="C94" s="3">
        <v>45637</v>
      </c>
      <c r="D94" s="2" t="s">
        <v>69</v>
      </c>
      <c r="E94" s="2" t="s">
        <v>28</v>
      </c>
      <c r="F94" s="2">
        <v>7</v>
      </c>
      <c r="G94" s="2">
        <v>117.15</v>
      </c>
      <c r="H94" s="2">
        <v>820.05</v>
      </c>
      <c r="I94" s="2" t="s">
        <v>31</v>
      </c>
      <c r="J94" s="2" t="str">
        <f t="shared" si="2"/>
        <v>Dec</v>
      </c>
      <c r="K94" s="4">
        <f>IF(AND(ISNUMBER(Lab2_Dataset[[#This Row],[Revenue]]), ISNUMBER(Lab2_Dataset[[#This Row],[Quantity]]), Lab2_Dataset[[#This Row],[Quantity]]&lt;&gt;0), Lab2_Dataset[[#This Row],[Revenue]]/Lab2_Dataset[[#This Row],[Quantity]], "")</f>
        <v>117.14999999999999</v>
      </c>
      <c r="O94" s="2" t="b">
        <v>0</v>
      </c>
      <c r="P94" s="2" t="str">
        <f t="shared" si="3"/>
        <v/>
      </c>
    </row>
    <row r="95" spans="1:16" x14ac:dyDescent="0.35">
      <c r="A95" s="2" t="s">
        <v>212</v>
      </c>
      <c r="B95" s="2" t="s">
        <v>213</v>
      </c>
      <c r="C95" s="3">
        <v>45603</v>
      </c>
      <c r="D95" s="2" t="s">
        <v>69</v>
      </c>
      <c r="E95" s="2" t="s">
        <v>24</v>
      </c>
      <c r="G95" s="2">
        <v>72.5</v>
      </c>
      <c r="I95" s="2" t="s">
        <v>17</v>
      </c>
      <c r="J95" s="2" t="str">
        <f t="shared" si="2"/>
        <v>Nov</v>
      </c>
      <c r="K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" s="2" t="b">
        <v>1</v>
      </c>
      <c r="P95" s="2">
        <f t="shared" si="3"/>
        <v>248.64999999999998</v>
      </c>
    </row>
    <row r="96" spans="1:16" x14ac:dyDescent="0.35">
      <c r="A96" s="2" t="s">
        <v>214</v>
      </c>
      <c r="B96" s="2" t="s">
        <v>215</v>
      </c>
      <c r="C96" s="3">
        <v>45076</v>
      </c>
      <c r="D96" s="2" t="s">
        <v>20</v>
      </c>
      <c r="E96" s="2" t="s">
        <v>47</v>
      </c>
      <c r="F96" s="2">
        <v>5</v>
      </c>
      <c r="G96" s="2">
        <v>49.73</v>
      </c>
      <c r="H96" s="2">
        <v>248.65</v>
      </c>
      <c r="I96" s="2" t="s">
        <v>31</v>
      </c>
      <c r="J96" s="2" t="str">
        <f t="shared" si="2"/>
        <v>May</v>
      </c>
      <c r="K96" s="4">
        <f>IF(AND(ISNUMBER(Lab2_Dataset[[#This Row],[Revenue]]), ISNUMBER(Lab2_Dataset[[#This Row],[Quantity]]), Lab2_Dataset[[#This Row],[Quantity]]&lt;&gt;0), Lab2_Dataset[[#This Row],[Revenue]]/Lab2_Dataset[[#This Row],[Quantity]], "")</f>
        <v>49.730000000000004</v>
      </c>
      <c r="O96" s="2" t="b">
        <v>0</v>
      </c>
      <c r="P96" s="2" t="str">
        <f t="shared" si="3"/>
        <v/>
      </c>
    </row>
    <row r="97" spans="1:16" x14ac:dyDescent="0.35">
      <c r="A97" s="2" t="s">
        <v>216</v>
      </c>
      <c r="B97" s="2" t="s">
        <v>217</v>
      </c>
      <c r="C97" s="3">
        <v>45360</v>
      </c>
      <c r="D97" s="2" t="s">
        <v>34</v>
      </c>
      <c r="E97" s="2" t="s">
        <v>28</v>
      </c>
      <c r="G97" s="2">
        <v>126.05</v>
      </c>
      <c r="I97" s="2" t="s">
        <v>13</v>
      </c>
      <c r="J97" s="2" t="str">
        <f t="shared" si="2"/>
        <v>Mar</v>
      </c>
      <c r="K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7" s="2" t="b">
        <v>1</v>
      </c>
      <c r="P97" s="2">
        <f t="shared" si="3"/>
        <v>873.52</v>
      </c>
    </row>
    <row r="98" spans="1:16" x14ac:dyDescent="0.35">
      <c r="A98" s="2" t="s">
        <v>218</v>
      </c>
      <c r="B98" s="2" t="s">
        <v>219</v>
      </c>
      <c r="C98" s="3">
        <v>45056</v>
      </c>
      <c r="D98" s="2" t="s">
        <v>27</v>
      </c>
      <c r="E98" s="2" t="s">
        <v>16</v>
      </c>
      <c r="F98" s="2">
        <v>8</v>
      </c>
      <c r="G98" s="2">
        <v>109.19</v>
      </c>
      <c r="H98" s="2">
        <v>873.52</v>
      </c>
      <c r="I98" s="2" t="s">
        <v>38</v>
      </c>
      <c r="J98" s="2" t="str">
        <f t="shared" si="2"/>
        <v>May</v>
      </c>
      <c r="K98" s="4">
        <f>IF(AND(ISNUMBER(Lab2_Dataset[[#This Row],[Revenue]]), ISNUMBER(Lab2_Dataset[[#This Row],[Quantity]]), Lab2_Dataset[[#This Row],[Quantity]]&lt;&gt;0), Lab2_Dataset[[#This Row],[Revenue]]/Lab2_Dataset[[#This Row],[Quantity]], "")</f>
        <v>109.19</v>
      </c>
      <c r="O98" s="2" t="b">
        <v>0</v>
      </c>
      <c r="P98" s="2">
        <f t="shared" si="3"/>
        <v>884.09999999999991</v>
      </c>
    </row>
    <row r="99" spans="1:16" x14ac:dyDescent="0.35">
      <c r="A99" s="2" t="s">
        <v>220</v>
      </c>
      <c r="B99" s="2" t="s">
        <v>221</v>
      </c>
      <c r="C99" s="3">
        <v>45281</v>
      </c>
      <c r="D99" s="2" t="s">
        <v>11</v>
      </c>
      <c r="E99" s="2" t="s">
        <v>24</v>
      </c>
      <c r="F99" s="2">
        <v>6</v>
      </c>
      <c r="G99" s="2">
        <v>147.35</v>
      </c>
      <c r="H99" s="2">
        <v>884.1</v>
      </c>
      <c r="I99" s="2" t="s">
        <v>13</v>
      </c>
      <c r="J99" s="2" t="str">
        <f t="shared" si="2"/>
        <v>Dec</v>
      </c>
      <c r="K99" s="4">
        <f>IF(AND(ISNUMBER(Lab2_Dataset[[#This Row],[Revenue]]), ISNUMBER(Lab2_Dataset[[#This Row],[Quantity]]), Lab2_Dataset[[#This Row],[Quantity]]&lt;&gt;0), Lab2_Dataset[[#This Row],[Revenue]]/Lab2_Dataset[[#This Row],[Quantity]], "")</f>
        <v>147.35</v>
      </c>
      <c r="O99" s="2" t="b">
        <v>0</v>
      </c>
      <c r="P99" s="2">
        <f t="shared" si="3"/>
        <v>360.63</v>
      </c>
    </row>
    <row r="100" spans="1:16" x14ac:dyDescent="0.35">
      <c r="A100" s="2" t="s">
        <v>222</v>
      </c>
      <c r="B100" s="2" t="s">
        <v>223</v>
      </c>
      <c r="C100" s="3">
        <v>45734</v>
      </c>
      <c r="D100" s="2" t="s">
        <v>20</v>
      </c>
      <c r="E100" s="2" t="s">
        <v>16</v>
      </c>
      <c r="F100" s="2">
        <v>3</v>
      </c>
      <c r="G100" s="2">
        <v>120.21</v>
      </c>
      <c r="H100" s="2">
        <v>360.63</v>
      </c>
      <c r="I100" s="2" t="s">
        <v>31</v>
      </c>
      <c r="J100" s="2" t="str">
        <f t="shared" si="2"/>
        <v>Mar</v>
      </c>
      <c r="K100" s="4">
        <f>IF(AND(ISNUMBER(Lab2_Dataset[[#This Row],[Revenue]]), ISNUMBER(Lab2_Dataset[[#This Row],[Quantity]]), Lab2_Dataset[[#This Row],[Quantity]]&lt;&gt;0), Lab2_Dataset[[#This Row],[Revenue]]/Lab2_Dataset[[#This Row],[Quantity]], "")</f>
        <v>120.21</v>
      </c>
      <c r="O100" s="2" t="b">
        <v>0</v>
      </c>
      <c r="P100" s="2" t="str">
        <f t="shared" si="3"/>
        <v/>
      </c>
    </row>
    <row r="101" spans="1:16" x14ac:dyDescent="0.35">
      <c r="A101" s="2" t="s">
        <v>224</v>
      </c>
      <c r="B101" s="2" t="s">
        <v>225</v>
      </c>
      <c r="C101" s="3">
        <v>45668</v>
      </c>
      <c r="D101" s="2" t="s">
        <v>69</v>
      </c>
      <c r="E101" s="2" t="s">
        <v>28</v>
      </c>
      <c r="G101" s="2">
        <v>37.35</v>
      </c>
      <c r="I101" s="2" t="s">
        <v>21</v>
      </c>
      <c r="J101" s="2" t="str">
        <f t="shared" si="2"/>
        <v>Jan</v>
      </c>
      <c r="K10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1" s="2" t="b">
        <v>1</v>
      </c>
      <c r="P101" s="2">
        <f t="shared" si="3"/>
        <v>212.13</v>
      </c>
    </row>
    <row r="102" spans="1:16" x14ac:dyDescent="0.35">
      <c r="A102" s="2" t="s">
        <v>226</v>
      </c>
      <c r="B102" s="2" t="s">
        <v>227</v>
      </c>
      <c r="C102" s="3">
        <v>45775</v>
      </c>
      <c r="D102" s="2" t="s">
        <v>20</v>
      </c>
      <c r="E102" s="2" t="s">
        <v>24</v>
      </c>
      <c r="F102" s="2">
        <v>3</v>
      </c>
      <c r="G102" s="2">
        <v>70.709999999999994</v>
      </c>
      <c r="H102" s="2">
        <v>212.13</v>
      </c>
      <c r="I102" s="2" t="s">
        <v>38</v>
      </c>
      <c r="J102" s="2" t="str">
        <f t="shared" si="2"/>
        <v>Apr</v>
      </c>
      <c r="K102" s="4">
        <f>IF(AND(ISNUMBER(Lab2_Dataset[[#This Row],[Revenue]]), ISNUMBER(Lab2_Dataset[[#This Row],[Quantity]]), Lab2_Dataset[[#This Row],[Quantity]]&lt;&gt;0), Lab2_Dataset[[#This Row],[Revenue]]/Lab2_Dataset[[#This Row],[Quantity]], "")</f>
        <v>70.709999999999994</v>
      </c>
      <c r="O102" s="2" t="b">
        <v>0</v>
      </c>
      <c r="P102" s="2" t="str">
        <f t="shared" si="3"/>
        <v/>
      </c>
    </row>
    <row r="103" spans="1:16" x14ac:dyDescent="0.35">
      <c r="A103" s="2" t="s">
        <v>228</v>
      </c>
      <c r="B103" s="2" t="s">
        <v>229</v>
      </c>
      <c r="C103" s="3">
        <v>45573</v>
      </c>
      <c r="D103" s="2" t="s">
        <v>34</v>
      </c>
      <c r="E103" s="2" t="s">
        <v>47</v>
      </c>
      <c r="G103" s="2">
        <v>169.35</v>
      </c>
      <c r="I103" s="2" t="s">
        <v>13</v>
      </c>
      <c r="J103" s="2" t="str">
        <f t="shared" si="2"/>
        <v>Oct</v>
      </c>
      <c r="K10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3" s="2" t="b">
        <v>1</v>
      </c>
      <c r="P103" s="2" t="str">
        <f t="shared" si="3"/>
        <v/>
      </c>
    </row>
    <row r="104" spans="1:16" x14ac:dyDescent="0.35">
      <c r="A104" s="2" t="s">
        <v>230</v>
      </c>
      <c r="B104" s="2" t="s">
        <v>231</v>
      </c>
      <c r="C104" s="3">
        <v>45129</v>
      </c>
      <c r="D104" s="2" t="s">
        <v>34</v>
      </c>
      <c r="E104" s="2" t="s">
        <v>12</v>
      </c>
      <c r="G104" s="2">
        <v>129.85</v>
      </c>
      <c r="I104" s="2" t="s">
        <v>31</v>
      </c>
      <c r="J104" s="2" t="str">
        <f t="shared" si="2"/>
        <v>Jul</v>
      </c>
      <c r="K10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4" s="2" t="b">
        <v>1</v>
      </c>
      <c r="P104" s="2" t="str">
        <f t="shared" si="3"/>
        <v/>
      </c>
    </row>
    <row r="105" spans="1:16" x14ac:dyDescent="0.35">
      <c r="A105" s="2" t="s">
        <v>232</v>
      </c>
      <c r="B105" s="2" t="s">
        <v>233</v>
      </c>
      <c r="C105" s="3">
        <v>45059</v>
      </c>
      <c r="D105" s="2" t="s">
        <v>11</v>
      </c>
      <c r="E105" s="2" t="s">
        <v>24</v>
      </c>
      <c r="G105" s="2">
        <v>98.47</v>
      </c>
      <c r="I105" s="2" t="s">
        <v>21</v>
      </c>
      <c r="J105" s="2" t="str">
        <f t="shared" si="2"/>
        <v>May</v>
      </c>
      <c r="K10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5" s="2" t="b">
        <v>1</v>
      </c>
      <c r="P105" s="2" t="str">
        <f t="shared" si="3"/>
        <v/>
      </c>
    </row>
    <row r="106" spans="1:16" x14ac:dyDescent="0.35">
      <c r="A106" s="2" t="s">
        <v>234</v>
      </c>
      <c r="B106" s="2" t="s">
        <v>235</v>
      </c>
      <c r="C106" s="3">
        <v>45454</v>
      </c>
      <c r="D106" s="2" t="s">
        <v>69</v>
      </c>
      <c r="E106" s="2" t="s">
        <v>28</v>
      </c>
      <c r="G106" s="2">
        <v>48.93</v>
      </c>
      <c r="I106" s="2" t="s">
        <v>21</v>
      </c>
      <c r="J106" s="2" t="str">
        <f t="shared" si="2"/>
        <v>Jun</v>
      </c>
      <c r="K1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6" s="2" t="b">
        <v>1</v>
      </c>
      <c r="P106" s="2" t="str">
        <f t="shared" si="3"/>
        <v/>
      </c>
    </row>
    <row r="107" spans="1:16" x14ac:dyDescent="0.35">
      <c r="A107" s="2" t="s">
        <v>236</v>
      </c>
      <c r="B107" s="2" t="s">
        <v>237</v>
      </c>
      <c r="C107" s="3">
        <v>45300</v>
      </c>
      <c r="D107" s="2" t="s">
        <v>37</v>
      </c>
      <c r="E107" s="2" t="s">
        <v>12</v>
      </c>
      <c r="G107" s="2">
        <v>56.57</v>
      </c>
      <c r="I107" s="2" t="s">
        <v>13</v>
      </c>
      <c r="J107" s="2" t="str">
        <f t="shared" si="2"/>
        <v>Jan</v>
      </c>
      <c r="K1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7" s="2" t="b">
        <v>1</v>
      </c>
      <c r="P107" s="2" t="str">
        <f t="shared" si="3"/>
        <v/>
      </c>
    </row>
    <row r="108" spans="1:16" x14ac:dyDescent="0.35">
      <c r="A108" s="2" t="s">
        <v>238</v>
      </c>
      <c r="B108" s="2" t="s">
        <v>239</v>
      </c>
      <c r="C108" s="3">
        <v>45081</v>
      </c>
      <c r="D108" s="2" t="s">
        <v>37</v>
      </c>
      <c r="E108" s="2" t="s">
        <v>12</v>
      </c>
      <c r="G108" s="2">
        <v>53.06</v>
      </c>
      <c r="I108" s="2" t="s">
        <v>17</v>
      </c>
      <c r="J108" s="2" t="str">
        <f t="shared" si="2"/>
        <v>Jun</v>
      </c>
      <c r="K10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8" s="2" t="b">
        <v>1</v>
      </c>
      <c r="P108" s="2">
        <f t="shared" si="3"/>
        <v>472.77</v>
      </c>
    </row>
    <row r="109" spans="1:16" x14ac:dyDescent="0.35">
      <c r="A109" s="2" t="s">
        <v>240</v>
      </c>
      <c r="B109" s="2" t="s">
        <v>241</v>
      </c>
      <c r="C109" s="3">
        <v>45332</v>
      </c>
      <c r="D109" s="2" t="s">
        <v>37</v>
      </c>
      <c r="E109" s="2" t="s">
        <v>12</v>
      </c>
      <c r="F109" s="2">
        <v>9</v>
      </c>
      <c r="G109" s="2">
        <v>52.53</v>
      </c>
      <c r="H109" s="2">
        <v>472.77</v>
      </c>
      <c r="I109" s="2" t="s">
        <v>52</v>
      </c>
      <c r="J109" s="2" t="str">
        <f t="shared" si="2"/>
        <v>Feb</v>
      </c>
      <c r="K109" s="4">
        <f>IF(AND(ISNUMBER(Lab2_Dataset[[#This Row],[Revenue]]), ISNUMBER(Lab2_Dataset[[#This Row],[Quantity]]), Lab2_Dataset[[#This Row],[Quantity]]&lt;&gt;0), Lab2_Dataset[[#This Row],[Revenue]]/Lab2_Dataset[[#This Row],[Quantity]], "")</f>
        <v>52.53</v>
      </c>
      <c r="O109" s="2" t="b">
        <v>0</v>
      </c>
      <c r="P109" s="2" t="str">
        <f t="shared" si="3"/>
        <v/>
      </c>
    </row>
    <row r="110" spans="1:16" x14ac:dyDescent="0.35">
      <c r="A110" s="2" t="s">
        <v>242</v>
      </c>
      <c r="B110" s="2" t="s">
        <v>243</v>
      </c>
      <c r="C110" s="3">
        <v>45773</v>
      </c>
      <c r="D110" s="2" t="s">
        <v>27</v>
      </c>
      <c r="E110" s="2" t="s">
        <v>28</v>
      </c>
      <c r="G110" s="2">
        <v>95.99</v>
      </c>
      <c r="I110" s="2" t="s">
        <v>13</v>
      </c>
      <c r="J110" s="2" t="str">
        <f t="shared" si="2"/>
        <v>Apr</v>
      </c>
      <c r="K1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0" s="2" t="b">
        <v>1</v>
      </c>
      <c r="P110" s="2">
        <f t="shared" si="3"/>
        <v>1004.78</v>
      </c>
    </row>
    <row r="111" spans="1:16" x14ac:dyDescent="0.35">
      <c r="A111" s="2" t="s">
        <v>244</v>
      </c>
      <c r="B111" s="2" t="s">
        <v>245</v>
      </c>
      <c r="C111" s="3">
        <v>45321</v>
      </c>
      <c r="D111" s="2" t="s">
        <v>11</v>
      </c>
      <c r="E111" s="2" t="s">
        <v>16</v>
      </c>
      <c r="F111" s="2">
        <v>7</v>
      </c>
      <c r="G111" s="2">
        <v>143.54</v>
      </c>
      <c r="H111" s="2">
        <v>1004.78</v>
      </c>
      <c r="I111" s="2" t="s">
        <v>21</v>
      </c>
      <c r="J111" s="2" t="str">
        <f t="shared" si="2"/>
        <v>Jan</v>
      </c>
      <c r="K111" s="4">
        <f>IF(AND(ISNUMBER(Lab2_Dataset[[#This Row],[Revenue]]), ISNUMBER(Lab2_Dataset[[#This Row],[Quantity]]), Lab2_Dataset[[#This Row],[Quantity]]&lt;&gt;0), Lab2_Dataset[[#This Row],[Revenue]]/Lab2_Dataset[[#This Row],[Quantity]], "")</f>
        <v>143.54</v>
      </c>
      <c r="O111" s="2" t="b">
        <v>0</v>
      </c>
      <c r="P111" s="2" t="str">
        <f t="shared" si="3"/>
        <v/>
      </c>
    </row>
    <row r="112" spans="1:16" x14ac:dyDescent="0.35">
      <c r="A112" s="2" t="s">
        <v>246</v>
      </c>
      <c r="B112" s="2" t="s">
        <v>247</v>
      </c>
      <c r="C112" s="3">
        <v>45646</v>
      </c>
      <c r="D112" s="2" t="s">
        <v>27</v>
      </c>
      <c r="E112" s="2" t="s">
        <v>12</v>
      </c>
      <c r="G112" s="2">
        <v>74.38</v>
      </c>
      <c r="I112" s="2" t="s">
        <v>17</v>
      </c>
      <c r="J112" s="2" t="str">
        <f t="shared" si="2"/>
        <v>Dec</v>
      </c>
      <c r="K1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2" s="2" t="b">
        <v>1</v>
      </c>
      <c r="P112" s="2">
        <f t="shared" si="3"/>
        <v>520.79999999999995</v>
      </c>
    </row>
    <row r="113" spans="1:16" x14ac:dyDescent="0.35">
      <c r="A113" s="2" t="s">
        <v>248</v>
      </c>
      <c r="B113" s="2" t="s">
        <v>249</v>
      </c>
      <c r="C113" s="3">
        <v>45771</v>
      </c>
      <c r="D113" s="2" t="s">
        <v>27</v>
      </c>
      <c r="E113" s="2" t="s">
        <v>12</v>
      </c>
      <c r="F113" s="2">
        <v>4</v>
      </c>
      <c r="G113" s="2">
        <v>130.19999999999999</v>
      </c>
      <c r="H113" s="2">
        <v>520.79999999999995</v>
      </c>
      <c r="I113" s="2" t="s">
        <v>17</v>
      </c>
      <c r="J113" s="2" t="str">
        <f t="shared" si="2"/>
        <v>Apr</v>
      </c>
      <c r="K113" s="4">
        <f>IF(AND(ISNUMBER(Lab2_Dataset[[#This Row],[Revenue]]), ISNUMBER(Lab2_Dataset[[#This Row],[Quantity]]), Lab2_Dataset[[#This Row],[Quantity]]&lt;&gt;0), Lab2_Dataset[[#This Row],[Revenue]]/Lab2_Dataset[[#This Row],[Quantity]], "")</f>
        <v>130.19999999999999</v>
      </c>
      <c r="O113" s="2" t="b">
        <v>0</v>
      </c>
      <c r="P113" s="2" t="str">
        <f t="shared" si="3"/>
        <v/>
      </c>
    </row>
    <row r="114" spans="1:16" x14ac:dyDescent="0.35">
      <c r="A114" s="2" t="s">
        <v>250</v>
      </c>
      <c r="B114" s="2" t="s">
        <v>251</v>
      </c>
      <c r="C114" s="3">
        <v>45429</v>
      </c>
      <c r="D114" s="2" t="s">
        <v>37</v>
      </c>
      <c r="E114" s="2" t="s">
        <v>12</v>
      </c>
      <c r="G114" s="2">
        <v>106.35</v>
      </c>
      <c r="I114" s="2" t="s">
        <v>52</v>
      </c>
      <c r="J114" s="2" t="str">
        <f t="shared" si="2"/>
        <v>May</v>
      </c>
      <c r="K1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4" s="2" t="b">
        <v>1</v>
      </c>
      <c r="P114" s="2" t="str">
        <f t="shared" si="3"/>
        <v/>
      </c>
    </row>
    <row r="115" spans="1:16" x14ac:dyDescent="0.35">
      <c r="A115" s="2" t="s">
        <v>252</v>
      </c>
      <c r="B115" s="2" t="s">
        <v>253</v>
      </c>
      <c r="C115" s="3">
        <v>45227</v>
      </c>
      <c r="D115" s="2" t="s">
        <v>27</v>
      </c>
      <c r="E115" s="2" t="s">
        <v>24</v>
      </c>
      <c r="G115" s="2">
        <v>67.540000000000006</v>
      </c>
      <c r="I115" s="2" t="s">
        <v>17</v>
      </c>
      <c r="J115" s="2" t="str">
        <f t="shared" si="2"/>
        <v>Oct</v>
      </c>
      <c r="K1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5" s="2" t="b">
        <v>1</v>
      </c>
      <c r="P115" s="2" t="str">
        <f t="shared" si="3"/>
        <v/>
      </c>
    </row>
    <row r="116" spans="1:16" x14ac:dyDescent="0.35">
      <c r="A116" s="2" t="s">
        <v>254</v>
      </c>
      <c r="B116" s="2" t="s">
        <v>255</v>
      </c>
      <c r="C116" s="3">
        <v>45195</v>
      </c>
      <c r="D116" s="2" t="s">
        <v>34</v>
      </c>
      <c r="E116" s="2" t="s">
        <v>16</v>
      </c>
      <c r="G116" s="2">
        <v>27.5</v>
      </c>
      <c r="I116" s="2" t="s">
        <v>21</v>
      </c>
      <c r="J116" s="2" t="str">
        <f t="shared" si="2"/>
        <v>Sep</v>
      </c>
      <c r="K11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6" s="2" t="b">
        <v>1</v>
      </c>
      <c r="P116" s="2">
        <f t="shared" si="3"/>
        <v>148.54</v>
      </c>
    </row>
    <row r="117" spans="1:16" x14ac:dyDescent="0.35">
      <c r="A117" s="2" t="s">
        <v>256</v>
      </c>
      <c r="B117" s="2" t="s">
        <v>257</v>
      </c>
      <c r="C117" s="3">
        <v>45193</v>
      </c>
      <c r="D117" s="2" t="s">
        <v>34</v>
      </c>
      <c r="E117" s="2" t="s">
        <v>47</v>
      </c>
      <c r="F117" s="2">
        <v>7</v>
      </c>
      <c r="G117" s="2">
        <v>21.22</v>
      </c>
      <c r="H117" s="2">
        <v>148.54</v>
      </c>
      <c r="I117" s="2" t="s">
        <v>13</v>
      </c>
      <c r="J117" s="2" t="str">
        <f t="shared" si="2"/>
        <v>Sep</v>
      </c>
      <c r="K117" s="4">
        <f>IF(AND(ISNUMBER(Lab2_Dataset[[#This Row],[Revenue]]), ISNUMBER(Lab2_Dataset[[#This Row],[Quantity]]), Lab2_Dataset[[#This Row],[Quantity]]&lt;&gt;0), Lab2_Dataset[[#This Row],[Revenue]]/Lab2_Dataset[[#This Row],[Quantity]], "")</f>
        <v>21.22</v>
      </c>
      <c r="O117" s="2" t="b">
        <v>0</v>
      </c>
      <c r="P117" s="2" t="str">
        <f t="shared" si="3"/>
        <v/>
      </c>
    </row>
    <row r="118" spans="1:16" x14ac:dyDescent="0.35">
      <c r="A118" s="2" t="s">
        <v>258</v>
      </c>
      <c r="B118" s="2" t="s">
        <v>259</v>
      </c>
      <c r="C118" s="3">
        <v>45146</v>
      </c>
      <c r="D118" s="2" t="s">
        <v>69</v>
      </c>
      <c r="E118" s="2" t="s">
        <v>47</v>
      </c>
      <c r="G118" s="2">
        <v>115.91</v>
      </c>
      <c r="I118" s="2" t="s">
        <v>31</v>
      </c>
      <c r="J118" s="2" t="str">
        <f t="shared" si="2"/>
        <v>Aug</v>
      </c>
      <c r="K11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8" s="2" t="b">
        <v>1</v>
      </c>
      <c r="P118" s="2" t="str">
        <f t="shared" si="3"/>
        <v/>
      </c>
    </row>
    <row r="119" spans="1:16" x14ac:dyDescent="0.35">
      <c r="A119" s="2" t="s">
        <v>260</v>
      </c>
      <c r="B119" s="2" t="s">
        <v>261</v>
      </c>
      <c r="C119" s="3">
        <v>45164</v>
      </c>
      <c r="D119" s="2" t="s">
        <v>11</v>
      </c>
      <c r="E119" s="2" t="s">
        <v>47</v>
      </c>
      <c r="G119" s="2">
        <v>60.45</v>
      </c>
      <c r="I119" s="2" t="s">
        <v>31</v>
      </c>
      <c r="J119" s="2" t="str">
        <f t="shared" si="2"/>
        <v>Aug</v>
      </c>
      <c r="K11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19" s="2" t="b">
        <v>1</v>
      </c>
      <c r="P119" s="2" t="str">
        <f t="shared" si="3"/>
        <v/>
      </c>
    </row>
    <row r="120" spans="1:16" x14ac:dyDescent="0.35">
      <c r="A120" s="2" t="s">
        <v>262</v>
      </c>
      <c r="B120" s="2" t="s">
        <v>263</v>
      </c>
      <c r="C120" s="3">
        <v>45068</v>
      </c>
      <c r="D120" s="2" t="s">
        <v>27</v>
      </c>
      <c r="E120" s="2" t="s">
        <v>12</v>
      </c>
      <c r="G120" s="2">
        <v>104.44</v>
      </c>
      <c r="I120" s="2" t="s">
        <v>17</v>
      </c>
      <c r="J120" s="2" t="str">
        <f t="shared" si="2"/>
        <v>May</v>
      </c>
      <c r="K1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0" s="2" t="b">
        <v>1</v>
      </c>
      <c r="P120" s="2" t="str">
        <f t="shared" si="3"/>
        <v/>
      </c>
    </row>
    <row r="121" spans="1:16" x14ac:dyDescent="0.35">
      <c r="A121" s="2" t="s">
        <v>264</v>
      </c>
      <c r="B121" s="2" t="s">
        <v>265</v>
      </c>
      <c r="C121" s="3">
        <v>45558</v>
      </c>
      <c r="D121" s="2" t="s">
        <v>37</v>
      </c>
      <c r="E121" s="2" t="s">
        <v>47</v>
      </c>
      <c r="G121" s="2">
        <v>79.48</v>
      </c>
      <c r="I121" s="2" t="s">
        <v>13</v>
      </c>
      <c r="J121" s="2" t="str">
        <f t="shared" si="2"/>
        <v>Sep</v>
      </c>
      <c r="K12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1" s="2" t="b">
        <v>1</v>
      </c>
      <c r="P121" s="2" t="str">
        <f t="shared" si="3"/>
        <v/>
      </c>
    </row>
    <row r="122" spans="1:16" x14ac:dyDescent="0.35">
      <c r="A122" s="2" t="s">
        <v>266</v>
      </c>
      <c r="B122" s="2" t="s">
        <v>267</v>
      </c>
      <c r="C122" s="3">
        <v>45215</v>
      </c>
      <c r="D122" s="2" t="s">
        <v>11</v>
      </c>
      <c r="E122" s="2" t="s">
        <v>24</v>
      </c>
      <c r="G122" s="2">
        <v>92.59</v>
      </c>
      <c r="I122" s="2" t="s">
        <v>31</v>
      </c>
      <c r="J122" s="2" t="str">
        <f t="shared" si="2"/>
        <v>Oct</v>
      </c>
      <c r="K1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2" s="2" t="b">
        <v>1</v>
      </c>
      <c r="P122" s="2">
        <f t="shared" si="3"/>
        <v>189.45000000000002</v>
      </c>
    </row>
    <row r="123" spans="1:16" x14ac:dyDescent="0.35">
      <c r="A123" s="2" t="s">
        <v>268</v>
      </c>
      <c r="B123" s="2" t="s">
        <v>269</v>
      </c>
      <c r="C123" s="3">
        <v>45051</v>
      </c>
      <c r="D123" s="2" t="s">
        <v>37</v>
      </c>
      <c r="E123" s="2" t="s">
        <v>47</v>
      </c>
      <c r="F123" s="2">
        <v>9</v>
      </c>
      <c r="G123" s="2">
        <v>21.05</v>
      </c>
      <c r="H123" s="2">
        <v>189.45</v>
      </c>
      <c r="I123" s="2" t="s">
        <v>17</v>
      </c>
      <c r="J123" s="2" t="str">
        <f t="shared" si="2"/>
        <v>May</v>
      </c>
      <c r="K123" s="4">
        <f>IF(AND(ISNUMBER(Lab2_Dataset[[#This Row],[Revenue]]), ISNUMBER(Lab2_Dataset[[#This Row],[Quantity]]), Lab2_Dataset[[#This Row],[Quantity]]&lt;&gt;0), Lab2_Dataset[[#This Row],[Revenue]]/Lab2_Dataset[[#This Row],[Quantity]], "")</f>
        <v>21.049999999999997</v>
      </c>
      <c r="O123" s="2" t="b">
        <v>0</v>
      </c>
      <c r="P123" s="2" t="str">
        <f t="shared" si="3"/>
        <v/>
      </c>
    </row>
    <row r="124" spans="1:16" x14ac:dyDescent="0.35">
      <c r="A124" s="2" t="s">
        <v>270</v>
      </c>
      <c r="B124" s="2" t="s">
        <v>271</v>
      </c>
      <c r="C124" s="3">
        <v>45126</v>
      </c>
      <c r="D124" s="2" t="s">
        <v>34</v>
      </c>
      <c r="E124" s="2" t="s">
        <v>16</v>
      </c>
      <c r="G124" s="2">
        <v>124.21</v>
      </c>
      <c r="I124" s="2" t="s">
        <v>13</v>
      </c>
      <c r="J124" s="2" t="str">
        <f t="shared" si="2"/>
        <v>Jul</v>
      </c>
      <c r="K1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4" s="2" t="b">
        <v>1</v>
      </c>
      <c r="P124" s="2">
        <f t="shared" si="3"/>
        <v>184.5</v>
      </c>
    </row>
    <row r="125" spans="1:16" x14ac:dyDescent="0.35">
      <c r="A125" s="2" t="s">
        <v>272</v>
      </c>
      <c r="B125" s="2" t="s">
        <v>273</v>
      </c>
      <c r="C125" s="3">
        <v>45457</v>
      </c>
      <c r="D125" s="2" t="s">
        <v>34</v>
      </c>
      <c r="E125" s="2" t="s">
        <v>12</v>
      </c>
      <c r="F125" s="2">
        <v>6</v>
      </c>
      <c r="G125" s="2">
        <v>30.75</v>
      </c>
      <c r="H125" s="2">
        <v>184.5</v>
      </c>
      <c r="I125" s="2" t="s">
        <v>21</v>
      </c>
      <c r="J125" s="2" t="str">
        <f t="shared" si="2"/>
        <v>Jun</v>
      </c>
      <c r="K125" s="4">
        <f>IF(AND(ISNUMBER(Lab2_Dataset[[#This Row],[Revenue]]), ISNUMBER(Lab2_Dataset[[#This Row],[Quantity]]), Lab2_Dataset[[#This Row],[Quantity]]&lt;&gt;0), Lab2_Dataset[[#This Row],[Revenue]]/Lab2_Dataset[[#This Row],[Quantity]], "")</f>
        <v>30.75</v>
      </c>
      <c r="O125" s="2" t="b">
        <v>0</v>
      </c>
      <c r="P125" s="2">
        <f t="shared" si="3"/>
        <v>350.48</v>
      </c>
    </row>
    <row r="126" spans="1:16" x14ac:dyDescent="0.35">
      <c r="A126" s="2" t="s">
        <v>274</v>
      </c>
      <c r="B126" s="2" t="s">
        <v>275</v>
      </c>
      <c r="C126" s="3">
        <v>45235</v>
      </c>
      <c r="D126" s="2" t="s">
        <v>37</v>
      </c>
      <c r="E126" s="2" t="s">
        <v>16</v>
      </c>
      <c r="F126" s="2">
        <v>4</v>
      </c>
      <c r="G126" s="2">
        <v>87.62</v>
      </c>
      <c r="H126" s="2">
        <v>350.48</v>
      </c>
      <c r="I126" s="2" t="s">
        <v>13</v>
      </c>
      <c r="J126" s="2" t="str">
        <f t="shared" si="2"/>
        <v>Nov</v>
      </c>
      <c r="K126" s="4">
        <f>IF(AND(ISNUMBER(Lab2_Dataset[[#This Row],[Revenue]]), ISNUMBER(Lab2_Dataset[[#This Row],[Quantity]]), Lab2_Dataset[[#This Row],[Quantity]]&lt;&gt;0), Lab2_Dataset[[#This Row],[Revenue]]/Lab2_Dataset[[#This Row],[Quantity]], "")</f>
        <v>87.62</v>
      </c>
      <c r="O126" s="2" t="b">
        <v>0</v>
      </c>
      <c r="P126" s="2" t="str">
        <f t="shared" si="3"/>
        <v/>
      </c>
    </row>
    <row r="127" spans="1:16" x14ac:dyDescent="0.35">
      <c r="A127" s="2" t="s">
        <v>276</v>
      </c>
      <c r="B127" s="2" t="s">
        <v>277</v>
      </c>
      <c r="C127" s="3">
        <v>45560</v>
      </c>
      <c r="D127" s="2" t="s">
        <v>20</v>
      </c>
      <c r="E127" s="2" t="s">
        <v>24</v>
      </c>
      <c r="G127" s="2">
        <v>117.75</v>
      </c>
      <c r="I127" s="2" t="s">
        <v>38</v>
      </c>
      <c r="J127" s="2" t="str">
        <f t="shared" si="2"/>
        <v>Sep</v>
      </c>
      <c r="K12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7" s="2" t="b">
        <v>1</v>
      </c>
      <c r="P127" s="2" t="str">
        <f t="shared" si="3"/>
        <v/>
      </c>
    </row>
    <row r="128" spans="1:16" x14ac:dyDescent="0.35">
      <c r="A128" s="2" t="s">
        <v>278</v>
      </c>
      <c r="B128" s="2" t="s">
        <v>279</v>
      </c>
      <c r="C128" s="3">
        <v>45511</v>
      </c>
      <c r="D128" s="2" t="s">
        <v>20</v>
      </c>
      <c r="E128" s="2" t="s">
        <v>24</v>
      </c>
      <c r="G128" s="2">
        <v>63.92</v>
      </c>
      <c r="I128" s="2" t="s">
        <v>21</v>
      </c>
      <c r="J128" s="2" t="str">
        <f t="shared" si="2"/>
        <v>Aug</v>
      </c>
      <c r="K1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8" s="2" t="b">
        <v>1</v>
      </c>
      <c r="P128" s="2" t="str">
        <f t="shared" si="3"/>
        <v/>
      </c>
    </row>
    <row r="129" spans="1:16" x14ac:dyDescent="0.35">
      <c r="A129" s="2" t="s">
        <v>280</v>
      </c>
      <c r="B129" s="2" t="s">
        <v>281</v>
      </c>
      <c r="C129" s="3">
        <v>45530</v>
      </c>
      <c r="D129" s="2" t="s">
        <v>69</v>
      </c>
      <c r="E129" s="2" t="s">
        <v>24</v>
      </c>
      <c r="G129" s="2">
        <v>102.05</v>
      </c>
      <c r="I129" s="2" t="s">
        <v>38</v>
      </c>
      <c r="J129" s="2" t="str">
        <f t="shared" si="2"/>
        <v>Aug</v>
      </c>
      <c r="K1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29" s="2" t="b">
        <v>1</v>
      </c>
      <c r="P129" s="2">
        <f t="shared" si="3"/>
        <v>81.93</v>
      </c>
    </row>
    <row r="130" spans="1:16" x14ac:dyDescent="0.35">
      <c r="A130" s="2" t="s">
        <v>282</v>
      </c>
      <c r="B130" s="2" t="s">
        <v>283</v>
      </c>
      <c r="C130" s="3">
        <v>45314</v>
      </c>
      <c r="D130" s="2" t="s">
        <v>37</v>
      </c>
      <c r="E130" s="2" t="s">
        <v>28</v>
      </c>
      <c r="F130" s="2">
        <v>1</v>
      </c>
      <c r="G130" s="2">
        <v>81.93</v>
      </c>
      <c r="H130" s="2">
        <v>81.93</v>
      </c>
      <c r="I130" s="2" t="s">
        <v>21</v>
      </c>
      <c r="J130" s="2" t="str">
        <f t="shared" ref="J130:J193" si="4">TEXT(C130,"mmm")</f>
        <v>Jan</v>
      </c>
      <c r="K130" s="4">
        <f>IF(AND(ISNUMBER(Lab2_Dataset[[#This Row],[Revenue]]), ISNUMBER(Lab2_Dataset[[#This Row],[Quantity]]), Lab2_Dataset[[#This Row],[Quantity]]&lt;&gt;0), Lab2_Dataset[[#This Row],[Revenue]]/Lab2_Dataset[[#This Row],[Quantity]], "")</f>
        <v>81.93</v>
      </c>
      <c r="O130" s="2" t="b">
        <v>0</v>
      </c>
      <c r="P130" s="2" t="str">
        <f t="shared" si="3"/>
        <v/>
      </c>
    </row>
    <row r="131" spans="1:16" x14ac:dyDescent="0.35">
      <c r="A131" s="2" t="s">
        <v>284</v>
      </c>
      <c r="B131" s="2" t="s">
        <v>285</v>
      </c>
      <c r="C131" s="3">
        <v>45053</v>
      </c>
      <c r="D131" s="2" t="s">
        <v>20</v>
      </c>
      <c r="E131" s="2" t="s">
        <v>24</v>
      </c>
      <c r="G131" s="2">
        <v>11.5</v>
      </c>
      <c r="I131" s="2" t="s">
        <v>21</v>
      </c>
      <c r="J131" s="2" t="str">
        <f t="shared" si="4"/>
        <v>May</v>
      </c>
      <c r="K1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31" s="2" t="b">
        <v>1</v>
      </c>
      <c r="P131" s="2" t="str">
        <f t="shared" ref="P131:P194" si="5">IF(O132=TRUE,"",F132*G132)</f>
        <v/>
      </c>
    </row>
    <row r="132" spans="1:16" x14ac:dyDescent="0.35">
      <c r="A132" s="2" t="s">
        <v>286</v>
      </c>
      <c r="B132" s="2" t="s">
        <v>287</v>
      </c>
      <c r="C132" s="3">
        <v>45232</v>
      </c>
      <c r="D132" s="2" t="s">
        <v>37</v>
      </c>
      <c r="E132" s="2" t="s">
        <v>16</v>
      </c>
      <c r="G132" s="2">
        <v>114.8</v>
      </c>
      <c r="I132" s="2" t="s">
        <v>52</v>
      </c>
      <c r="J132" s="2" t="str">
        <f t="shared" si="4"/>
        <v>Nov</v>
      </c>
      <c r="K1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32" s="2" t="b">
        <v>1</v>
      </c>
      <c r="P132" s="2">
        <f t="shared" si="5"/>
        <v>205.83</v>
      </c>
    </row>
    <row r="133" spans="1:16" x14ac:dyDescent="0.35">
      <c r="A133" s="2" t="s">
        <v>288</v>
      </c>
      <c r="B133" s="2" t="s">
        <v>117</v>
      </c>
      <c r="C133" s="3">
        <v>45081</v>
      </c>
      <c r="D133" s="2" t="s">
        <v>37</v>
      </c>
      <c r="E133" s="2" t="s">
        <v>47</v>
      </c>
      <c r="F133" s="2">
        <v>9</v>
      </c>
      <c r="G133" s="2">
        <v>22.87</v>
      </c>
      <c r="H133" s="2">
        <v>205.83</v>
      </c>
      <c r="I133" s="2" t="s">
        <v>38</v>
      </c>
      <c r="J133" s="2" t="str">
        <f t="shared" si="4"/>
        <v>Jun</v>
      </c>
      <c r="K133" s="4">
        <f>IF(AND(ISNUMBER(Lab2_Dataset[[#This Row],[Revenue]]), ISNUMBER(Lab2_Dataset[[#This Row],[Quantity]]), Lab2_Dataset[[#This Row],[Quantity]]&lt;&gt;0), Lab2_Dataset[[#This Row],[Revenue]]/Lab2_Dataset[[#This Row],[Quantity]], "")</f>
        <v>22.87</v>
      </c>
      <c r="O133" s="2" t="b">
        <v>0</v>
      </c>
      <c r="P133" s="2" t="str">
        <f t="shared" si="5"/>
        <v/>
      </c>
    </row>
    <row r="134" spans="1:16" x14ac:dyDescent="0.35">
      <c r="A134" s="2" t="s">
        <v>289</v>
      </c>
      <c r="B134" s="2" t="s">
        <v>290</v>
      </c>
      <c r="C134" s="3">
        <v>45058</v>
      </c>
      <c r="D134" s="2" t="s">
        <v>11</v>
      </c>
      <c r="E134" s="2" t="s">
        <v>28</v>
      </c>
      <c r="G134" s="2">
        <v>74.56</v>
      </c>
      <c r="I134" s="2" t="s">
        <v>21</v>
      </c>
      <c r="J134" s="2" t="str">
        <f t="shared" si="4"/>
        <v>May</v>
      </c>
      <c r="K13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34" s="2" t="b">
        <v>1</v>
      </c>
      <c r="P134" s="2" t="str">
        <f t="shared" si="5"/>
        <v/>
      </c>
    </row>
    <row r="135" spans="1:16" x14ac:dyDescent="0.35">
      <c r="A135" s="2" t="s">
        <v>291</v>
      </c>
      <c r="B135" s="2" t="s">
        <v>292</v>
      </c>
      <c r="C135" s="3">
        <v>45313</v>
      </c>
      <c r="D135" s="2" t="s">
        <v>34</v>
      </c>
      <c r="E135" s="2" t="s">
        <v>16</v>
      </c>
      <c r="G135" s="2">
        <v>173.3</v>
      </c>
      <c r="I135" s="2" t="s">
        <v>21</v>
      </c>
      <c r="J135" s="2" t="str">
        <f t="shared" si="4"/>
        <v>Jan</v>
      </c>
      <c r="K1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35" s="2" t="b">
        <v>1</v>
      </c>
      <c r="P135" s="2">
        <f t="shared" si="5"/>
        <v>554.66999999999996</v>
      </c>
    </row>
    <row r="136" spans="1:16" x14ac:dyDescent="0.35">
      <c r="A136" s="2" t="s">
        <v>293</v>
      </c>
      <c r="B136" s="2" t="s">
        <v>294</v>
      </c>
      <c r="C136" s="3">
        <v>45753</v>
      </c>
      <c r="D136" s="2" t="s">
        <v>27</v>
      </c>
      <c r="E136" s="2" t="s">
        <v>24</v>
      </c>
      <c r="F136" s="2">
        <v>3</v>
      </c>
      <c r="G136" s="2">
        <v>184.89</v>
      </c>
      <c r="H136" s="2">
        <v>554.66999999999996</v>
      </c>
      <c r="I136" s="2" t="s">
        <v>13</v>
      </c>
      <c r="J136" s="2" t="str">
        <f t="shared" si="4"/>
        <v>Apr</v>
      </c>
      <c r="K136" s="4">
        <f>IF(AND(ISNUMBER(Lab2_Dataset[[#This Row],[Revenue]]), ISNUMBER(Lab2_Dataset[[#This Row],[Quantity]]), Lab2_Dataset[[#This Row],[Quantity]]&lt;&gt;0), Lab2_Dataset[[#This Row],[Revenue]]/Lab2_Dataset[[#This Row],[Quantity]], "")</f>
        <v>184.89</v>
      </c>
      <c r="O136" s="2" t="b">
        <v>0</v>
      </c>
      <c r="P136" s="2">
        <f t="shared" si="5"/>
        <v>348.03999999999996</v>
      </c>
    </row>
    <row r="137" spans="1:16" x14ac:dyDescent="0.35">
      <c r="A137" s="2" t="s">
        <v>295</v>
      </c>
      <c r="B137" s="2" t="s">
        <v>296</v>
      </c>
      <c r="C137" s="3">
        <v>45739</v>
      </c>
      <c r="D137" s="2" t="s">
        <v>11</v>
      </c>
      <c r="E137" s="2" t="s">
        <v>16</v>
      </c>
      <c r="F137" s="2">
        <v>7</v>
      </c>
      <c r="G137" s="2">
        <v>49.72</v>
      </c>
      <c r="H137" s="2">
        <v>348.04</v>
      </c>
      <c r="I137" s="2" t="s">
        <v>31</v>
      </c>
      <c r="J137" s="2" t="str">
        <f t="shared" si="4"/>
        <v>Mar</v>
      </c>
      <c r="K137" s="4">
        <f>IF(AND(ISNUMBER(Lab2_Dataset[[#This Row],[Revenue]]), ISNUMBER(Lab2_Dataset[[#This Row],[Quantity]]), Lab2_Dataset[[#This Row],[Quantity]]&lt;&gt;0), Lab2_Dataset[[#This Row],[Revenue]]/Lab2_Dataset[[#This Row],[Quantity]], "")</f>
        <v>49.720000000000006</v>
      </c>
      <c r="O137" s="2" t="b">
        <v>0</v>
      </c>
      <c r="P137" s="2">
        <f t="shared" si="5"/>
        <v>1145.46</v>
      </c>
    </row>
    <row r="138" spans="1:16" x14ac:dyDescent="0.35">
      <c r="A138" s="2" t="s">
        <v>297</v>
      </c>
      <c r="B138" s="2" t="s">
        <v>298</v>
      </c>
      <c r="C138" s="3">
        <v>45308</v>
      </c>
      <c r="D138" s="2" t="s">
        <v>34</v>
      </c>
      <c r="E138" s="2" t="s">
        <v>47</v>
      </c>
      <c r="F138" s="2">
        <v>6</v>
      </c>
      <c r="G138" s="2">
        <v>190.91</v>
      </c>
      <c r="H138" s="2">
        <v>1145.46</v>
      </c>
      <c r="I138" s="2" t="s">
        <v>38</v>
      </c>
      <c r="J138" s="2" t="str">
        <f t="shared" si="4"/>
        <v>Jan</v>
      </c>
      <c r="K138" s="4">
        <f>IF(AND(ISNUMBER(Lab2_Dataset[[#This Row],[Revenue]]), ISNUMBER(Lab2_Dataset[[#This Row],[Quantity]]), Lab2_Dataset[[#This Row],[Quantity]]&lt;&gt;0), Lab2_Dataset[[#This Row],[Revenue]]/Lab2_Dataset[[#This Row],[Quantity]], "")</f>
        <v>190.91</v>
      </c>
      <c r="O138" s="2" t="b">
        <v>0</v>
      </c>
      <c r="P138" s="2">
        <f t="shared" si="5"/>
        <v>1127.44</v>
      </c>
    </row>
    <row r="139" spans="1:16" x14ac:dyDescent="0.35">
      <c r="A139" s="2" t="s">
        <v>299</v>
      </c>
      <c r="B139" s="2" t="s">
        <v>300</v>
      </c>
      <c r="C139" s="3">
        <v>45372</v>
      </c>
      <c r="D139" s="2" t="s">
        <v>20</v>
      </c>
      <c r="E139" s="2" t="s">
        <v>12</v>
      </c>
      <c r="F139" s="2">
        <v>8</v>
      </c>
      <c r="G139" s="2">
        <v>140.93</v>
      </c>
      <c r="H139" s="2">
        <v>1127.44</v>
      </c>
      <c r="I139" s="2" t="s">
        <v>17</v>
      </c>
      <c r="J139" s="2" t="str">
        <f t="shared" si="4"/>
        <v>Mar</v>
      </c>
      <c r="K139" s="4">
        <f>IF(AND(ISNUMBER(Lab2_Dataset[[#This Row],[Revenue]]), ISNUMBER(Lab2_Dataset[[#This Row],[Quantity]]), Lab2_Dataset[[#This Row],[Quantity]]&lt;&gt;0), Lab2_Dataset[[#This Row],[Revenue]]/Lab2_Dataset[[#This Row],[Quantity]], "")</f>
        <v>140.93</v>
      </c>
      <c r="O139" s="2" t="b">
        <v>0</v>
      </c>
      <c r="P139" s="2" t="str">
        <f t="shared" si="5"/>
        <v/>
      </c>
    </row>
    <row r="140" spans="1:16" x14ac:dyDescent="0.35">
      <c r="A140" s="2" t="s">
        <v>301</v>
      </c>
      <c r="B140" s="2" t="s">
        <v>302</v>
      </c>
      <c r="C140" s="3">
        <v>45120</v>
      </c>
      <c r="D140" s="2" t="s">
        <v>27</v>
      </c>
      <c r="E140" s="2" t="s">
        <v>24</v>
      </c>
      <c r="G140" s="2">
        <v>42.33</v>
      </c>
      <c r="I140" s="2" t="s">
        <v>31</v>
      </c>
      <c r="J140" s="2" t="str">
        <f t="shared" si="4"/>
        <v>Jul</v>
      </c>
      <c r="K14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40" s="2" t="b">
        <v>1</v>
      </c>
      <c r="P140" s="2">
        <f t="shared" si="5"/>
        <v>237.3</v>
      </c>
    </row>
    <row r="141" spans="1:16" x14ac:dyDescent="0.35">
      <c r="A141" s="2" t="s">
        <v>303</v>
      </c>
      <c r="B141" s="2" t="s">
        <v>304</v>
      </c>
      <c r="C141" s="3">
        <v>45626</v>
      </c>
      <c r="D141" s="2" t="s">
        <v>20</v>
      </c>
      <c r="E141" s="2" t="s">
        <v>28</v>
      </c>
      <c r="F141" s="2">
        <v>5</v>
      </c>
      <c r="G141" s="2">
        <v>47.46</v>
      </c>
      <c r="H141" s="2">
        <v>237.3</v>
      </c>
      <c r="I141" s="2" t="s">
        <v>13</v>
      </c>
      <c r="J141" s="2" t="str">
        <f t="shared" si="4"/>
        <v>Nov</v>
      </c>
      <c r="K141" s="4">
        <f>IF(AND(ISNUMBER(Lab2_Dataset[[#This Row],[Revenue]]), ISNUMBER(Lab2_Dataset[[#This Row],[Quantity]]), Lab2_Dataset[[#This Row],[Quantity]]&lt;&gt;0), Lab2_Dataset[[#This Row],[Revenue]]/Lab2_Dataset[[#This Row],[Quantity]], "")</f>
        <v>47.46</v>
      </c>
      <c r="O141" s="2" t="b">
        <v>0</v>
      </c>
      <c r="P141" s="2">
        <f t="shared" si="5"/>
        <v>85.34</v>
      </c>
    </row>
    <row r="142" spans="1:16" x14ac:dyDescent="0.35">
      <c r="A142" s="2" t="s">
        <v>305</v>
      </c>
      <c r="B142" s="2" t="s">
        <v>306</v>
      </c>
      <c r="C142" s="3">
        <v>45109</v>
      </c>
      <c r="D142" s="2" t="s">
        <v>11</v>
      </c>
      <c r="E142" s="2" t="s">
        <v>16</v>
      </c>
      <c r="F142" s="2">
        <v>1</v>
      </c>
      <c r="G142" s="2">
        <v>85.34</v>
      </c>
      <c r="H142" s="2">
        <v>85.34</v>
      </c>
      <c r="I142" s="2" t="s">
        <v>17</v>
      </c>
      <c r="J142" s="2" t="str">
        <f t="shared" si="4"/>
        <v>Jul</v>
      </c>
      <c r="K142" s="4">
        <f>IF(AND(ISNUMBER(Lab2_Dataset[[#This Row],[Revenue]]), ISNUMBER(Lab2_Dataset[[#This Row],[Quantity]]), Lab2_Dataset[[#This Row],[Quantity]]&lt;&gt;0), Lab2_Dataset[[#This Row],[Revenue]]/Lab2_Dataset[[#This Row],[Quantity]], "")</f>
        <v>85.34</v>
      </c>
      <c r="O142" s="2" t="b">
        <v>0</v>
      </c>
      <c r="P142" s="2" t="str">
        <f t="shared" si="5"/>
        <v/>
      </c>
    </row>
    <row r="143" spans="1:16" x14ac:dyDescent="0.35">
      <c r="A143" s="2" t="s">
        <v>307</v>
      </c>
      <c r="B143" s="2" t="s">
        <v>308</v>
      </c>
      <c r="C143" s="3">
        <v>45702</v>
      </c>
      <c r="D143" s="2" t="s">
        <v>34</v>
      </c>
      <c r="E143" s="2" t="s">
        <v>12</v>
      </c>
      <c r="G143" s="2">
        <v>177.06</v>
      </c>
      <c r="I143" s="2" t="s">
        <v>17</v>
      </c>
      <c r="J143" s="2" t="str">
        <f t="shared" si="4"/>
        <v>Feb</v>
      </c>
      <c r="K1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43" s="2" t="b">
        <v>1</v>
      </c>
      <c r="P143" s="2" t="str">
        <f t="shared" si="5"/>
        <v/>
      </c>
    </row>
    <row r="144" spans="1:16" x14ac:dyDescent="0.35">
      <c r="A144" s="2" t="s">
        <v>309</v>
      </c>
      <c r="B144" s="2" t="s">
        <v>310</v>
      </c>
      <c r="C144" s="3">
        <v>45496</v>
      </c>
      <c r="D144" s="2" t="s">
        <v>34</v>
      </c>
      <c r="E144" s="2" t="s">
        <v>47</v>
      </c>
      <c r="G144" s="2">
        <v>199.31</v>
      </c>
      <c r="I144" s="2" t="s">
        <v>38</v>
      </c>
      <c r="J144" s="2" t="str">
        <f t="shared" si="4"/>
        <v>Jul</v>
      </c>
      <c r="K1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44" s="2" t="b">
        <v>1</v>
      </c>
      <c r="P144" s="2">
        <f t="shared" si="5"/>
        <v>1059.06</v>
      </c>
    </row>
    <row r="145" spans="1:16" x14ac:dyDescent="0.35">
      <c r="A145" s="2" t="s">
        <v>311</v>
      </c>
      <c r="B145" s="2" t="s">
        <v>312</v>
      </c>
      <c r="C145" s="3">
        <v>45678</v>
      </c>
      <c r="D145" s="2" t="s">
        <v>69</v>
      </c>
      <c r="E145" s="2" t="s">
        <v>12</v>
      </c>
      <c r="F145" s="2">
        <v>6</v>
      </c>
      <c r="G145" s="2">
        <v>176.51</v>
      </c>
      <c r="H145" s="2">
        <v>1059.06</v>
      </c>
      <c r="I145" s="2" t="s">
        <v>17</v>
      </c>
      <c r="J145" s="2" t="str">
        <f t="shared" si="4"/>
        <v>Jan</v>
      </c>
      <c r="K145" s="4">
        <f>IF(AND(ISNUMBER(Lab2_Dataset[[#This Row],[Revenue]]), ISNUMBER(Lab2_Dataset[[#This Row],[Quantity]]), Lab2_Dataset[[#This Row],[Quantity]]&lt;&gt;0), Lab2_Dataset[[#This Row],[Revenue]]/Lab2_Dataset[[#This Row],[Quantity]], "")</f>
        <v>176.51</v>
      </c>
      <c r="O145" s="2" t="b">
        <v>0</v>
      </c>
      <c r="P145" s="2">
        <f t="shared" si="5"/>
        <v>480.16</v>
      </c>
    </row>
    <row r="146" spans="1:16" x14ac:dyDescent="0.35">
      <c r="A146" s="2" t="s">
        <v>313</v>
      </c>
      <c r="B146" s="2" t="s">
        <v>314</v>
      </c>
      <c r="C146" s="3">
        <v>45201</v>
      </c>
      <c r="D146" s="2" t="s">
        <v>34</v>
      </c>
      <c r="E146" s="2" t="s">
        <v>16</v>
      </c>
      <c r="F146" s="2">
        <v>8</v>
      </c>
      <c r="G146" s="2">
        <v>60.02</v>
      </c>
      <c r="H146" s="2">
        <v>480.16</v>
      </c>
      <c r="I146" s="2" t="s">
        <v>17</v>
      </c>
      <c r="J146" s="2" t="str">
        <f t="shared" si="4"/>
        <v>Oct</v>
      </c>
      <c r="K146" s="4">
        <f>IF(AND(ISNUMBER(Lab2_Dataset[[#This Row],[Revenue]]), ISNUMBER(Lab2_Dataset[[#This Row],[Quantity]]), Lab2_Dataset[[#This Row],[Quantity]]&lt;&gt;0), Lab2_Dataset[[#This Row],[Revenue]]/Lab2_Dataset[[#This Row],[Quantity]], "")</f>
        <v>60.02</v>
      </c>
      <c r="O146" s="2" t="b">
        <v>0</v>
      </c>
      <c r="P146" s="2">
        <f t="shared" si="5"/>
        <v>494.18999999999994</v>
      </c>
    </row>
    <row r="147" spans="1:16" x14ac:dyDescent="0.35">
      <c r="A147" s="2" t="s">
        <v>315</v>
      </c>
      <c r="B147" s="2" t="s">
        <v>316</v>
      </c>
      <c r="C147" s="3">
        <v>45698</v>
      </c>
      <c r="D147" s="2" t="s">
        <v>11</v>
      </c>
      <c r="E147" s="2" t="s">
        <v>12</v>
      </c>
      <c r="F147" s="2">
        <v>9</v>
      </c>
      <c r="G147" s="2">
        <v>54.91</v>
      </c>
      <c r="H147" s="2">
        <v>494.19</v>
      </c>
      <c r="I147" s="2" t="s">
        <v>52</v>
      </c>
      <c r="J147" s="2" t="str">
        <f t="shared" si="4"/>
        <v>Feb</v>
      </c>
      <c r="K147" s="4">
        <f>IF(AND(ISNUMBER(Lab2_Dataset[[#This Row],[Revenue]]), ISNUMBER(Lab2_Dataset[[#This Row],[Quantity]]), Lab2_Dataset[[#This Row],[Quantity]]&lt;&gt;0), Lab2_Dataset[[#This Row],[Revenue]]/Lab2_Dataset[[#This Row],[Quantity]], "")</f>
        <v>54.91</v>
      </c>
      <c r="O147" s="2" t="b">
        <v>0</v>
      </c>
      <c r="P147" s="2" t="str">
        <f t="shared" si="5"/>
        <v/>
      </c>
    </row>
    <row r="148" spans="1:16" x14ac:dyDescent="0.35">
      <c r="A148" s="2" t="s">
        <v>317</v>
      </c>
      <c r="B148" s="2" t="s">
        <v>318</v>
      </c>
      <c r="C148" s="3">
        <v>45625</v>
      </c>
      <c r="D148" s="2" t="s">
        <v>27</v>
      </c>
      <c r="E148" s="2" t="s">
        <v>28</v>
      </c>
      <c r="G148" s="2">
        <v>67.459999999999994</v>
      </c>
      <c r="I148" s="2" t="s">
        <v>17</v>
      </c>
      <c r="J148" s="2" t="str">
        <f t="shared" si="4"/>
        <v>Nov</v>
      </c>
      <c r="K1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48" s="2" t="b">
        <v>1</v>
      </c>
      <c r="P148" s="2">
        <f t="shared" si="5"/>
        <v>74.98</v>
      </c>
    </row>
    <row r="149" spans="1:16" x14ac:dyDescent="0.35">
      <c r="A149" s="2" t="s">
        <v>319</v>
      </c>
      <c r="B149" s="2" t="s">
        <v>320</v>
      </c>
      <c r="C149" s="3">
        <v>45779</v>
      </c>
      <c r="D149" s="2" t="s">
        <v>34</v>
      </c>
      <c r="E149" s="2" t="s">
        <v>28</v>
      </c>
      <c r="F149" s="2">
        <v>1</v>
      </c>
      <c r="G149" s="2">
        <v>74.98</v>
      </c>
      <c r="I149" s="2" t="s">
        <v>17</v>
      </c>
      <c r="J149" s="2" t="str">
        <f t="shared" si="4"/>
        <v>May</v>
      </c>
      <c r="K14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49" s="2" t="b">
        <v>0</v>
      </c>
      <c r="P149" s="2" t="str">
        <f t="shared" si="5"/>
        <v/>
      </c>
    </row>
    <row r="150" spans="1:16" x14ac:dyDescent="0.35">
      <c r="A150" s="2" t="s">
        <v>321</v>
      </c>
      <c r="B150" s="2" t="s">
        <v>322</v>
      </c>
      <c r="C150" s="3">
        <v>45190</v>
      </c>
      <c r="D150" s="2" t="s">
        <v>34</v>
      </c>
      <c r="E150" s="2" t="s">
        <v>24</v>
      </c>
      <c r="G150" s="2">
        <v>194.61</v>
      </c>
      <c r="I150" s="2" t="s">
        <v>31</v>
      </c>
      <c r="J150" s="2" t="str">
        <f t="shared" si="4"/>
        <v>Sep</v>
      </c>
      <c r="K15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0" s="2" t="b">
        <v>1</v>
      </c>
      <c r="P150" s="2">
        <f t="shared" si="5"/>
        <v>214.2</v>
      </c>
    </row>
    <row r="151" spans="1:16" x14ac:dyDescent="0.35">
      <c r="A151" s="2" t="s">
        <v>323</v>
      </c>
      <c r="B151" s="2" t="s">
        <v>324</v>
      </c>
      <c r="C151" s="3">
        <v>45721</v>
      </c>
      <c r="D151" s="2" t="s">
        <v>20</v>
      </c>
      <c r="E151" s="2" t="s">
        <v>16</v>
      </c>
      <c r="F151" s="2">
        <v>4</v>
      </c>
      <c r="G151" s="2">
        <v>53.55</v>
      </c>
      <c r="H151" s="2">
        <v>214.2</v>
      </c>
      <c r="I151" s="2" t="s">
        <v>31</v>
      </c>
      <c r="J151" s="2" t="str">
        <f t="shared" si="4"/>
        <v>Mar</v>
      </c>
      <c r="K151" s="4">
        <f>IF(AND(ISNUMBER(Lab2_Dataset[[#This Row],[Revenue]]), ISNUMBER(Lab2_Dataset[[#This Row],[Quantity]]), Lab2_Dataset[[#This Row],[Quantity]]&lt;&gt;0), Lab2_Dataset[[#This Row],[Revenue]]/Lab2_Dataset[[#This Row],[Quantity]], "")</f>
        <v>53.55</v>
      </c>
      <c r="O151" s="2" t="b">
        <v>0</v>
      </c>
      <c r="P151" s="2" t="str">
        <f t="shared" si="5"/>
        <v/>
      </c>
    </row>
    <row r="152" spans="1:16" x14ac:dyDescent="0.35">
      <c r="A152" s="2" t="s">
        <v>325</v>
      </c>
      <c r="B152" s="2" t="s">
        <v>326</v>
      </c>
      <c r="C152" s="3">
        <v>45371</v>
      </c>
      <c r="D152" s="2" t="s">
        <v>20</v>
      </c>
      <c r="E152" s="2" t="s">
        <v>47</v>
      </c>
      <c r="G152" s="2">
        <v>83.8</v>
      </c>
      <c r="I152" s="2" t="s">
        <v>21</v>
      </c>
      <c r="J152" s="2" t="str">
        <f t="shared" si="4"/>
        <v>Mar</v>
      </c>
      <c r="K1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2" s="2" t="b">
        <v>1</v>
      </c>
      <c r="P152" s="2" t="str">
        <f t="shared" si="5"/>
        <v/>
      </c>
    </row>
    <row r="153" spans="1:16" x14ac:dyDescent="0.35">
      <c r="A153" s="2" t="s">
        <v>327</v>
      </c>
      <c r="B153" s="2" t="s">
        <v>328</v>
      </c>
      <c r="C153" s="3">
        <v>45223</v>
      </c>
      <c r="D153" s="2" t="s">
        <v>11</v>
      </c>
      <c r="E153" s="2" t="s">
        <v>24</v>
      </c>
      <c r="G153" s="2">
        <v>172.19</v>
      </c>
      <c r="I153" s="2" t="s">
        <v>52</v>
      </c>
      <c r="J153" s="2" t="str">
        <f t="shared" si="4"/>
        <v>Oct</v>
      </c>
      <c r="K1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3" s="2" t="b">
        <v>1</v>
      </c>
      <c r="P153" s="2">
        <f t="shared" si="5"/>
        <v>365.37</v>
      </c>
    </row>
    <row r="154" spans="1:16" x14ac:dyDescent="0.35">
      <c r="A154" s="2" t="s">
        <v>329</v>
      </c>
      <c r="B154" s="2" t="s">
        <v>330</v>
      </c>
      <c r="C154" s="3">
        <v>45212</v>
      </c>
      <c r="D154" s="2" t="s">
        <v>20</v>
      </c>
      <c r="E154" s="2" t="s">
        <v>12</v>
      </c>
      <c r="F154" s="2">
        <v>3</v>
      </c>
      <c r="G154" s="2">
        <v>121.79</v>
      </c>
      <c r="H154" s="2">
        <v>365.37</v>
      </c>
      <c r="I154" s="2" t="s">
        <v>17</v>
      </c>
      <c r="J154" s="2" t="str">
        <f t="shared" si="4"/>
        <v>Oct</v>
      </c>
      <c r="K154" s="4">
        <f>IF(AND(ISNUMBER(Lab2_Dataset[[#This Row],[Revenue]]), ISNUMBER(Lab2_Dataset[[#This Row],[Quantity]]), Lab2_Dataset[[#This Row],[Quantity]]&lt;&gt;0), Lab2_Dataset[[#This Row],[Revenue]]/Lab2_Dataset[[#This Row],[Quantity]], "")</f>
        <v>121.79</v>
      </c>
      <c r="O154" s="2" t="b">
        <v>0</v>
      </c>
      <c r="P154" s="2" t="str">
        <f t="shared" si="5"/>
        <v/>
      </c>
    </row>
    <row r="155" spans="1:16" x14ac:dyDescent="0.35">
      <c r="A155" s="2" t="s">
        <v>331</v>
      </c>
      <c r="B155" s="2" t="s">
        <v>332</v>
      </c>
      <c r="C155" s="3">
        <v>45277</v>
      </c>
      <c r="D155" s="2" t="s">
        <v>11</v>
      </c>
      <c r="E155" s="2" t="s">
        <v>16</v>
      </c>
      <c r="G155" s="2">
        <v>24.87</v>
      </c>
      <c r="I155" s="2" t="s">
        <v>17</v>
      </c>
      <c r="J155" s="2" t="str">
        <f t="shared" si="4"/>
        <v>Dec</v>
      </c>
      <c r="K1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5" s="2" t="b">
        <v>1</v>
      </c>
      <c r="P155" s="2">
        <f t="shared" si="5"/>
        <v>256.05</v>
      </c>
    </row>
    <row r="156" spans="1:16" x14ac:dyDescent="0.35">
      <c r="A156" s="2" t="s">
        <v>333</v>
      </c>
      <c r="B156" s="2" t="s">
        <v>334</v>
      </c>
      <c r="C156" s="3">
        <v>45421</v>
      </c>
      <c r="D156" s="2" t="s">
        <v>34</v>
      </c>
      <c r="E156" s="2" t="s">
        <v>24</v>
      </c>
      <c r="F156" s="2">
        <v>5</v>
      </c>
      <c r="G156" s="2">
        <v>51.21</v>
      </c>
      <c r="H156" s="2">
        <v>256.05</v>
      </c>
      <c r="I156" s="2" t="s">
        <v>21</v>
      </c>
      <c r="J156" s="2" t="str">
        <f t="shared" si="4"/>
        <v>May</v>
      </c>
      <c r="K156" s="4">
        <f>IF(AND(ISNUMBER(Lab2_Dataset[[#This Row],[Revenue]]), ISNUMBER(Lab2_Dataset[[#This Row],[Quantity]]), Lab2_Dataset[[#This Row],[Quantity]]&lt;&gt;0), Lab2_Dataset[[#This Row],[Revenue]]/Lab2_Dataset[[#This Row],[Quantity]], "")</f>
        <v>51.21</v>
      </c>
      <c r="O156" s="2" t="b">
        <v>0</v>
      </c>
      <c r="P156" s="2">
        <f t="shared" si="5"/>
        <v>98.2</v>
      </c>
    </row>
    <row r="157" spans="1:16" x14ac:dyDescent="0.35">
      <c r="A157" s="2" t="s">
        <v>335</v>
      </c>
      <c r="B157" s="2" t="s">
        <v>336</v>
      </c>
      <c r="C157" s="3">
        <v>45751</v>
      </c>
      <c r="D157" s="2" t="s">
        <v>11</v>
      </c>
      <c r="E157" s="2" t="s">
        <v>28</v>
      </c>
      <c r="F157" s="2">
        <v>1</v>
      </c>
      <c r="G157" s="2">
        <v>98.2</v>
      </c>
      <c r="H157" s="2">
        <v>98.2</v>
      </c>
      <c r="I157" s="2" t="s">
        <v>21</v>
      </c>
      <c r="J157" s="2" t="str">
        <f t="shared" si="4"/>
        <v>Apr</v>
      </c>
      <c r="K157" s="4">
        <f>IF(AND(ISNUMBER(Lab2_Dataset[[#This Row],[Revenue]]), ISNUMBER(Lab2_Dataset[[#This Row],[Quantity]]), Lab2_Dataset[[#This Row],[Quantity]]&lt;&gt;0), Lab2_Dataset[[#This Row],[Revenue]]/Lab2_Dataset[[#This Row],[Quantity]], "")</f>
        <v>98.2</v>
      </c>
      <c r="O157" s="2" t="b">
        <v>0</v>
      </c>
      <c r="P157" s="2">
        <f t="shared" si="5"/>
        <v>1482</v>
      </c>
    </row>
    <row r="158" spans="1:16" x14ac:dyDescent="0.35">
      <c r="A158" s="2" t="s">
        <v>337</v>
      </c>
      <c r="B158" s="2" t="s">
        <v>338</v>
      </c>
      <c r="C158" s="3">
        <v>45485</v>
      </c>
      <c r="D158" s="2" t="s">
        <v>34</v>
      </c>
      <c r="E158" s="2" t="s">
        <v>28</v>
      </c>
      <c r="F158" s="2">
        <v>8</v>
      </c>
      <c r="G158" s="2">
        <v>185.25</v>
      </c>
      <c r="H158" s="2">
        <v>1482</v>
      </c>
      <c r="I158" s="2" t="s">
        <v>13</v>
      </c>
      <c r="J158" s="2" t="str">
        <f t="shared" si="4"/>
        <v>Jul</v>
      </c>
      <c r="K158" s="4">
        <f>IF(AND(ISNUMBER(Lab2_Dataset[[#This Row],[Revenue]]), ISNUMBER(Lab2_Dataset[[#This Row],[Quantity]]), Lab2_Dataset[[#This Row],[Quantity]]&lt;&gt;0), Lab2_Dataset[[#This Row],[Revenue]]/Lab2_Dataset[[#This Row],[Quantity]], "")</f>
        <v>185.25</v>
      </c>
      <c r="O158" s="2" t="b">
        <v>0</v>
      </c>
      <c r="P158" s="2" t="str">
        <f t="shared" si="5"/>
        <v/>
      </c>
    </row>
    <row r="159" spans="1:16" x14ac:dyDescent="0.35">
      <c r="A159" s="2" t="s">
        <v>339</v>
      </c>
      <c r="B159" s="2" t="s">
        <v>340</v>
      </c>
      <c r="C159" s="3">
        <v>45083</v>
      </c>
      <c r="D159" s="2" t="s">
        <v>37</v>
      </c>
      <c r="E159" s="2" t="s">
        <v>12</v>
      </c>
      <c r="G159" s="2">
        <v>148.85</v>
      </c>
      <c r="I159" s="2" t="s">
        <v>21</v>
      </c>
      <c r="J159" s="2" t="str">
        <f t="shared" si="4"/>
        <v>Jun</v>
      </c>
      <c r="K1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59" s="2" t="b">
        <v>1</v>
      </c>
      <c r="P159" s="2">
        <f t="shared" si="5"/>
        <v>15.55</v>
      </c>
    </row>
    <row r="160" spans="1:16" x14ac:dyDescent="0.35">
      <c r="A160" s="2" t="s">
        <v>341</v>
      </c>
      <c r="B160" s="2" t="s">
        <v>342</v>
      </c>
      <c r="C160" s="3">
        <v>45591</v>
      </c>
      <c r="D160" s="2" t="s">
        <v>27</v>
      </c>
      <c r="E160" s="2" t="s">
        <v>28</v>
      </c>
      <c r="F160" s="2">
        <v>1</v>
      </c>
      <c r="G160" s="2">
        <v>15.55</v>
      </c>
      <c r="H160" s="2">
        <v>15.55</v>
      </c>
      <c r="I160" s="2" t="s">
        <v>17</v>
      </c>
      <c r="J160" s="2" t="str">
        <f t="shared" si="4"/>
        <v>Oct</v>
      </c>
      <c r="K160" s="4">
        <f>IF(AND(ISNUMBER(Lab2_Dataset[[#This Row],[Revenue]]), ISNUMBER(Lab2_Dataset[[#This Row],[Quantity]]), Lab2_Dataset[[#This Row],[Quantity]]&lt;&gt;0), Lab2_Dataset[[#This Row],[Revenue]]/Lab2_Dataset[[#This Row],[Quantity]], "")</f>
        <v>15.55</v>
      </c>
      <c r="O160" s="2" t="b">
        <v>0</v>
      </c>
      <c r="P160" s="2" t="str">
        <f t="shared" si="5"/>
        <v/>
      </c>
    </row>
    <row r="161" spans="1:16" x14ac:dyDescent="0.35">
      <c r="A161" s="2" t="s">
        <v>343</v>
      </c>
      <c r="B161" s="2" t="s">
        <v>344</v>
      </c>
      <c r="C161" s="3">
        <v>45623</v>
      </c>
      <c r="D161" s="2" t="s">
        <v>34</v>
      </c>
      <c r="E161" s="2" t="s">
        <v>16</v>
      </c>
      <c r="G161" s="2">
        <v>22.08</v>
      </c>
      <c r="I161" s="2" t="s">
        <v>13</v>
      </c>
      <c r="J161" s="2" t="str">
        <f t="shared" si="4"/>
        <v>Nov</v>
      </c>
      <c r="K16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1" s="2" t="b">
        <v>1</v>
      </c>
      <c r="P161" s="2" t="str">
        <f t="shared" si="5"/>
        <v/>
      </c>
    </row>
    <row r="162" spans="1:16" x14ac:dyDescent="0.35">
      <c r="A162" s="2" t="s">
        <v>345</v>
      </c>
      <c r="B162" s="2" t="s">
        <v>346</v>
      </c>
      <c r="C162" s="3">
        <v>45069</v>
      </c>
      <c r="D162" s="2" t="s">
        <v>69</v>
      </c>
      <c r="E162" s="2" t="s">
        <v>16</v>
      </c>
      <c r="G162" s="2">
        <v>160.75</v>
      </c>
      <c r="I162" s="2" t="s">
        <v>17</v>
      </c>
      <c r="J162" s="2" t="str">
        <f t="shared" si="4"/>
        <v>May</v>
      </c>
      <c r="K16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2" s="2" t="b">
        <v>1</v>
      </c>
      <c r="P162" s="2" t="str">
        <f t="shared" si="5"/>
        <v/>
      </c>
    </row>
    <row r="163" spans="1:16" x14ac:dyDescent="0.35">
      <c r="A163" s="2" t="s">
        <v>347</v>
      </c>
      <c r="B163" s="2" t="s">
        <v>348</v>
      </c>
      <c r="C163" s="3">
        <v>45740</v>
      </c>
      <c r="D163" s="2" t="s">
        <v>37</v>
      </c>
      <c r="E163" s="2" t="s">
        <v>24</v>
      </c>
      <c r="G163" s="2">
        <v>29</v>
      </c>
      <c r="I163" s="2" t="s">
        <v>21</v>
      </c>
      <c r="J163" s="2" t="str">
        <f t="shared" si="4"/>
        <v>Mar</v>
      </c>
      <c r="K1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3" s="2" t="b">
        <v>1</v>
      </c>
      <c r="P163" s="2" t="str">
        <f t="shared" si="5"/>
        <v/>
      </c>
    </row>
    <row r="164" spans="1:16" x14ac:dyDescent="0.35">
      <c r="A164" s="2" t="s">
        <v>349</v>
      </c>
      <c r="B164" s="2" t="s">
        <v>350</v>
      </c>
      <c r="C164" s="3">
        <v>45366</v>
      </c>
      <c r="D164" s="2" t="s">
        <v>11</v>
      </c>
      <c r="E164" s="2" t="s">
        <v>28</v>
      </c>
      <c r="G164" s="2">
        <v>183.09</v>
      </c>
      <c r="I164" s="2" t="s">
        <v>52</v>
      </c>
      <c r="J164" s="2" t="str">
        <f t="shared" si="4"/>
        <v>Mar</v>
      </c>
      <c r="K1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4" s="2" t="b">
        <v>1</v>
      </c>
      <c r="P164" s="2" t="str">
        <f t="shared" si="5"/>
        <v/>
      </c>
    </row>
    <row r="165" spans="1:16" x14ac:dyDescent="0.35">
      <c r="A165" s="2" t="s">
        <v>351</v>
      </c>
      <c r="B165" s="2" t="s">
        <v>352</v>
      </c>
      <c r="C165" s="3">
        <v>45388</v>
      </c>
      <c r="D165" s="2" t="s">
        <v>20</v>
      </c>
      <c r="E165" s="2" t="s">
        <v>16</v>
      </c>
      <c r="G165" s="2">
        <v>73.900000000000006</v>
      </c>
      <c r="I165" s="2" t="s">
        <v>38</v>
      </c>
      <c r="J165" s="2" t="str">
        <f t="shared" si="4"/>
        <v>Apr</v>
      </c>
      <c r="K1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5" s="2" t="b">
        <v>1</v>
      </c>
      <c r="P165" s="2" t="str">
        <f t="shared" si="5"/>
        <v/>
      </c>
    </row>
    <row r="166" spans="1:16" x14ac:dyDescent="0.35">
      <c r="A166" s="2" t="s">
        <v>353</v>
      </c>
      <c r="B166" s="2" t="s">
        <v>354</v>
      </c>
      <c r="C166" s="3">
        <v>45661</v>
      </c>
      <c r="D166" s="2" t="s">
        <v>20</v>
      </c>
      <c r="E166" s="2" t="s">
        <v>12</v>
      </c>
      <c r="G166" s="2">
        <v>24.47</v>
      </c>
      <c r="I166" s="2" t="s">
        <v>38</v>
      </c>
      <c r="J166" s="2" t="str">
        <f t="shared" si="4"/>
        <v>Jan</v>
      </c>
      <c r="K1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6" s="2" t="b">
        <v>1</v>
      </c>
      <c r="P166" s="2">
        <f t="shared" si="5"/>
        <v>153.41</v>
      </c>
    </row>
    <row r="167" spans="1:16" x14ac:dyDescent="0.35">
      <c r="A167" s="2" t="s">
        <v>355</v>
      </c>
      <c r="B167" s="2" t="s">
        <v>356</v>
      </c>
      <c r="C167" s="3">
        <v>45545</v>
      </c>
      <c r="D167" s="2" t="s">
        <v>69</v>
      </c>
      <c r="E167" s="2" t="s">
        <v>16</v>
      </c>
      <c r="F167" s="2">
        <v>1</v>
      </c>
      <c r="G167" s="2">
        <v>153.41</v>
      </c>
      <c r="H167" s="2">
        <v>153.41</v>
      </c>
      <c r="I167" s="2" t="s">
        <v>31</v>
      </c>
      <c r="J167" s="2" t="str">
        <f t="shared" si="4"/>
        <v>Sep</v>
      </c>
      <c r="K167" s="4">
        <f>IF(AND(ISNUMBER(Lab2_Dataset[[#This Row],[Revenue]]), ISNUMBER(Lab2_Dataset[[#This Row],[Quantity]]), Lab2_Dataset[[#This Row],[Quantity]]&lt;&gt;0), Lab2_Dataset[[#This Row],[Revenue]]/Lab2_Dataset[[#This Row],[Quantity]], "")</f>
        <v>153.41</v>
      </c>
      <c r="O167" s="2" t="b">
        <v>0</v>
      </c>
      <c r="P167" s="2" t="str">
        <f t="shared" si="5"/>
        <v/>
      </c>
    </row>
    <row r="168" spans="1:16" x14ac:dyDescent="0.35">
      <c r="A168" s="2" t="s">
        <v>357</v>
      </c>
      <c r="B168" s="2" t="s">
        <v>358</v>
      </c>
      <c r="C168" s="3">
        <v>45487</v>
      </c>
      <c r="D168" s="2" t="s">
        <v>20</v>
      </c>
      <c r="E168" s="2" t="s">
        <v>28</v>
      </c>
      <c r="G168" s="2">
        <v>131.83000000000001</v>
      </c>
      <c r="I168" s="2" t="s">
        <v>52</v>
      </c>
      <c r="J168" s="2" t="str">
        <f t="shared" si="4"/>
        <v>Jul</v>
      </c>
      <c r="K16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8" s="2" t="b">
        <v>1</v>
      </c>
      <c r="P168" s="2" t="str">
        <f t="shared" si="5"/>
        <v/>
      </c>
    </row>
    <row r="169" spans="1:16" x14ac:dyDescent="0.35">
      <c r="A169" s="2" t="s">
        <v>359</v>
      </c>
      <c r="B169" s="2" t="s">
        <v>360</v>
      </c>
      <c r="C169" s="3">
        <v>45625</v>
      </c>
      <c r="D169" s="2" t="s">
        <v>27</v>
      </c>
      <c r="E169" s="2" t="s">
        <v>28</v>
      </c>
      <c r="G169" s="2">
        <v>79.010000000000005</v>
      </c>
      <c r="I169" s="2" t="s">
        <v>21</v>
      </c>
      <c r="J169" s="2" t="str">
        <f t="shared" si="4"/>
        <v>Nov</v>
      </c>
      <c r="K1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69" s="2" t="b">
        <v>1</v>
      </c>
      <c r="P169" s="2" t="str">
        <f t="shared" si="5"/>
        <v/>
      </c>
    </row>
    <row r="170" spans="1:16" x14ac:dyDescent="0.35">
      <c r="A170" s="2" t="s">
        <v>361</v>
      </c>
      <c r="B170" s="2" t="s">
        <v>362</v>
      </c>
      <c r="C170" s="3">
        <v>45728</v>
      </c>
      <c r="D170" s="2" t="s">
        <v>11</v>
      </c>
      <c r="E170" s="2" t="s">
        <v>24</v>
      </c>
      <c r="G170" s="2">
        <v>59.54</v>
      </c>
      <c r="I170" s="2" t="s">
        <v>13</v>
      </c>
      <c r="J170" s="2" t="str">
        <f t="shared" si="4"/>
        <v>Mar</v>
      </c>
      <c r="K17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0" s="2" t="b">
        <v>1</v>
      </c>
      <c r="P170" s="2" t="str">
        <f t="shared" si="5"/>
        <v/>
      </c>
    </row>
    <row r="171" spans="1:16" x14ac:dyDescent="0.35">
      <c r="A171" s="2" t="s">
        <v>363</v>
      </c>
      <c r="B171" s="2" t="s">
        <v>364</v>
      </c>
      <c r="C171" s="3">
        <v>45225</v>
      </c>
      <c r="D171" s="2" t="s">
        <v>11</v>
      </c>
      <c r="E171" s="2" t="s">
        <v>24</v>
      </c>
      <c r="G171" s="2">
        <v>172.24</v>
      </c>
      <c r="I171" s="2" t="s">
        <v>17</v>
      </c>
      <c r="J171" s="2" t="str">
        <f t="shared" si="4"/>
        <v>Oct</v>
      </c>
      <c r="K17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1" s="2" t="b">
        <v>1</v>
      </c>
      <c r="P171" s="2" t="str">
        <f t="shared" si="5"/>
        <v/>
      </c>
    </row>
    <row r="172" spans="1:16" x14ac:dyDescent="0.35">
      <c r="A172" s="2" t="s">
        <v>365</v>
      </c>
      <c r="B172" s="2" t="s">
        <v>366</v>
      </c>
      <c r="C172" s="3">
        <v>45382</v>
      </c>
      <c r="D172" s="2" t="s">
        <v>27</v>
      </c>
      <c r="E172" s="2" t="s">
        <v>47</v>
      </c>
      <c r="G172" s="2">
        <v>37.159999999999997</v>
      </c>
      <c r="I172" s="2" t="s">
        <v>52</v>
      </c>
      <c r="J172" s="2" t="str">
        <f t="shared" si="4"/>
        <v>Mar</v>
      </c>
      <c r="K1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2" s="2" t="b">
        <v>1</v>
      </c>
      <c r="P172" s="2" t="str">
        <f t="shared" si="5"/>
        <v/>
      </c>
    </row>
    <row r="173" spans="1:16" x14ac:dyDescent="0.35">
      <c r="A173" s="2" t="s">
        <v>367</v>
      </c>
      <c r="B173" s="2" t="s">
        <v>368</v>
      </c>
      <c r="C173" s="3">
        <v>45643</v>
      </c>
      <c r="D173" s="2" t="s">
        <v>11</v>
      </c>
      <c r="E173" s="2" t="s">
        <v>16</v>
      </c>
      <c r="G173" s="2">
        <v>32.21</v>
      </c>
      <c r="I173" s="2" t="s">
        <v>38</v>
      </c>
      <c r="J173" s="2" t="str">
        <f t="shared" si="4"/>
        <v>Dec</v>
      </c>
      <c r="K1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3" s="2" t="b">
        <v>1</v>
      </c>
      <c r="P173" s="2">
        <f t="shared" si="5"/>
        <v>979.72</v>
      </c>
    </row>
    <row r="174" spans="1:16" x14ac:dyDescent="0.35">
      <c r="A174" s="2" t="s">
        <v>369</v>
      </c>
      <c r="B174" s="2" t="s">
        <v>370</v>
      </c>
      <c r="C174" s="3">
        <v>45415</v>
      </c>
      <c r="D174" s="2" t="s">
        <v>11</v>
      </c>
      <c r="E174" s="2" t="s">
        <v>28</v>
      </c>
      <c r="F174" s="2">
        <v>7</v>
      </c>
      <c r="G174" s="2">
        <v>139.96</v>
      </c>
      <c r="I174" s="2" t="s">
        <v>52</v>
      </c>
      <c r="J174" s="2" t="str">
        <f t="shared" si="4"/>
        <v>May</v>
      </c>
      <c r="K17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4" s="2" t="b">
        <v>0</v>
      </c>
      <c r="P174" s="2" t="str">
        <f t="shared" si="5"/>
        <v/>
      </c>
    </row>
    <row r="175" spans="1:16" x14ac:dyDescent="0.35">
      <c r="A175" s="2" t="s">
        <v>371</v>
      </c>
      <c r="B175" s="2" t="s">
        <v>372</v>
      </c>
      <c r="C175" s="3">
        <v>45495</v>
      </c>
      <c r="D175" s="2" t="s">
        <v>27</v>
      </c>
      <c r="E175" s="2" t="s">
        <v>16</v>
      </c>
      <c r="G175" s="2">
        <v>168.58</v>
      </c>
      <c r="I175" s="2" t="s">
        <v>52</v>
      </c>
      <c r="J175" s="2" t="str">
        <f t="shared" si="4"/>
        <v>Jul</v>
      </c>
      <c r="K17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5" s="2" t="b">
        <v>1</v>
      </c>
      <c r="P175" s="2" t="str">
        <f t="shared" si="5"/>
        <v/>
      </c>
    </row>
    <row r="176" spans="1:16" x14ac:dyDescent="0.35">
      <c r="A176" s="2" t="s">
        <v>373</v>
      </c>
      <c r="B176" s="2" t="s">
        <v>374</v>
      </c>
      <c r="C176" s="3">
        <v>45261</v>
      </c>
      <c r="D176" s="2" t="s">
        <v>34</v>
      </c>
      <c r="E176" s="2" t="s">
        <v>28</v>
      </c>
      <c r="G176" s="2">
        <v>154.13</v>
      </c>
      <c r="I176" s="2" t="s">
        <v>21</v>
      </c>
      <c r="J176" s="2" t="str">
        <f t="shared" si="4"/>
        <v>Dec</v>
      </c>
      <c r="K17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6" s="2" t="b">
        <v>1</v>
      </c>
      <c r="P176" s="2" t="str">
        <f t="shared" si="5"/>
        <v/>
      </c>
    </row>
    <row r="177" spans="1:16" x14ac:dyDescent="0.35">
      <c r="A177" s="2" t="s">
        <v>375</v>
      </c>
      <c r="B177" s="2" t="s">
        <v>376</v>
      </c>
      <c r="C177" s="3">
        <v>45105</v>
      </c>
      <c r="D177" s="2" t="s">
        <v>20</v>
      </c>
      <c r="E177" s="2" t="s">
        <v>28</v>
      </c>
      <c r="G177" s="2">
        <v>181.96</v>
      </c>
      <c r="I177" s="2" t="s">
        <v>38</v>
      </c>
      <c r="J177" s="2" t="str">
        <f t="shared" si="4"/>
        <v>Jun</v>
      </c>
      <c r="K17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7" s="2" t="b">
        <v>1</v>
      </c>
      <c r="P177" s="2">
        <f t="shared" si="5"/>
        <v>1440.96</v>
      </c>
    </row>
    <row r="178" spans="1:16" x14ac:dyDescent="0.35">
      <c r="A178" s="2" t="s">
        <v>377</v>
      </c>
      <c r="B178" s="2" t="s">
        <v>378</v>
      </c>
      <c r="C178" s="3">
        <v>45616</v>
      </c>
      <c r="D178" s="2" t="s">
        <v>20</v>
      </c>
      <c r="E178" s="2" t="s">
        <v>12</v>
      </c>
      <c r="F178" s="2">
        <v>8</v>
      </c>
      <c r="G178" s="2">
        <v>180.12</v>
      </c>
      <c r="H178" s="2">
        <v>1440.96</v>
      </c>
      <c r="I178" s="2" t="s">
        <v>52</v>
      </c>
      <c r="J178" s="2" t="str">
        <f t="shared" si="4"/>
        <v>Nov</v>
      </c>
      <c r="K178" s="4">
        <f>IF(AND(ISNUMBER(Lab2_Dataset[[#This Row],[Revenue]]), ISNUMBER(Lab2_Dataset[[#This Row],[Quantity]]), Lab2_Dataset[[#This Row],[Quantity]]&lt;&gt;0), Lab2_Dataset[[#This Row],[Revenue]]/Lab2_Dataset[[#This Row],[Quantity]], "")</f>
        <v>180.12</v>
      </c>
      <c r="O178" s="2" t="b">
        <v>0</v>
      </c>
      <c r="P178" s="2" t="str">
        <f t="shared" si="5"/>
        <v/>
      </c>
    </row>
    <row r="179" spans="1:16" x14ac:dyDescent="0.35">
      <c r="A179" s="2" t="s">
        <v>379</v>
      </c>
      <c r="B179" s="2" t="s">
        <v>380</v>
      </c>
      <c r="C179" s="3">
        <v>45052</v>
      </c>
      <c r="D179" s="2" t="s">
        <v>69</v>
      </c>
      <c r="E179" s="2" t="s">
        <v>16</v>
      </c>
      <c r="G179" s="2">
        <v>60.21</v>
      </c>
      <c r="I179" s="2" t="s">
        <v>13</v>
      </c>
      <c r="J179" s="2" t="str">
        <f t="shared" si="4"/>
        <v>May</v>
      </c>
      <c r="K17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79" s="2" t="b">
        <v>1</v>
      </c>
      <c r="P179" s="2" t="str">
        <f t="shared" si="5"/>
        <v/>
      </c>
    </row>
    <row r="180" spans="1:16" x14ac:dyDescent="0.35">
      <c r="A180" s="2" t="s">
        <v>381</v>
      </c>
      <c r="B180" s="2" t="s">
        <v>382</v>
      </c>
      <c r="C180" s="3">
        <v>45705</v>
      </c>
      <c r="D180" s="2" t="s">
        <v>34</v>
      </c>
      <c r="E180" s="2" t="s">
        <v>28</v>
      </c>
      <c r="G180" s="2">
        <v>23.79</v>
      </c>
      <c r="I180" s="2" t="s">
        <v>17</v>
      </c>
      <c r="J180" s="2" t="str">
        <f t="shared" si="4"/>
        <v>Feb</v>
      </c>
      <c r="K18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0" s="2" t="b">
        <v>1</v>
      </c>
      <c r="P180" s="2" t="str">
        <f t="shared" si="5"/>
        <v/>
      </c>
    </row>
    <row r="181" spans="1:16" x14ac:dyDescent="0.35">
      <c r="A181" s="2" t="s">
        <v>383</v>
      </c>
      <c r="B181" s="2" t="s">
        <v>384</v>
      </c>
      <c r="C181" s="3">
        <v>45713</v>
      </c>
      <c r="D181" s="2" t="s">
        <v>37</v>
      </c>
      <c r="E181" s="2" t="s">
        <v>28</v>
      </c>
      <c r="G181" s="2">
        <v>125.05</v>
      </c>
      <c r="I181" s="2" t="s">
        <v>52</v>
      </c>
      <c r="J181" s="2" t="str">
        <f t="shared" si="4"/>
        <v>Feb</v>
      </c>
      <c r="K1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1" s="2" t="b">
        <v>1</v>
      </c>
      <c r="P181" s="2" t="str">
        <f t="shared" si="5"/>
        <v/>
      </c>
    </row>
    <row r="182" spans="1:16" x14ac:dyDescent="0.35">
      <c r="A182" s="2" t="s">
        <v>385</v>
      </c>
      <c r="B182" s="2" t="s">
        <v>386</v>
      </c>
      <c r="C182" s="3">
        <v>45104</v>
      </c>
      <c r="D182" s="2" t="s">
        <v>11</v>
      </c>
      <c r="E182" s="2" t="s">
        <v>16</v>
      </c>
      <c r="G182" s="2">
        <v>101.06</v>
      </c>
      <c r="I182" s="2" t="s">
        <v>52</v>
      </c>
      <c r="J182" s="2" t="str">
        <f t="shared" si="4"/>
        <v>Jun</v>
      </c>
      <c r="K18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2" s="2" t="b">
        <v>1</v>
      </c>
      <c r="P182" s="2" t="str">
        <f t="shared" si="5"/>
        <v/>
      </c>
    </row>
    <row r="183" spans="1:16" x14ac:dyDescent="0.35">
      <c r="A183" s="2" t="s">
        <v>387</v>
      </c>
      <c r="B183" s="2" t="s">
        <v>388</v>
      </c>
      <c r="C183" s="3">
        <v>45211</v>
      </c>
      <c r="D183" s="2" t="s">
        <v>27</v>
      </c>
      <c r="E183" s="2" t="s">
        <v>24</v>
      </c>
      <c r="G183" s="2">
        <v>105.02</v>
      </c>
      <c r="I183" s="2" t="s">
        <v>13</v>
      </c>
      <c r="J183" s="2" t="str">
        <f t="shared" si="4"/>
        <v>Oct</v>
      </c>
      <c r="K18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3" s="2" t="b">
        <v>1</v>
      </c>
      <c r="P183" s="2">
        <f t="shared" si="5"/>
        <v>47.98</v>
      </c>
    </row>
    <row r="184" spans="1:16" x14ac:dyDescent="0.35">
      <c r="A184" s="2" t="s">
        <v>389</v>
      </c>
      <c r="B184" s="2" t="s">
        <v>390</v>
      </c>
      <c r="C184" s="3">
        <v>45235</v>
      </c>
      <c r="D184" s="2" t="s">
        <v>11</v>
      </c>
      <c r="E184" s="2" t="s">
        <v>24</v>
      </c>
      <c r="F184" s="2">
        <v>1</v>
      </c>
      <c r="G184" s="2">
        <v>47.98</v>
      </c>
      <c r="H184" s="2">
        <v>47.98</v>
      </c>
      <c r="I184" s="2" t="s">
        <v>31</v>
      </c>
      <c r="J184" s="2" t="str">
        <f t="shared" si="4"/>
        <v>Nov</v>
      </c>
      <c r="K184" s="4">
        <f>IF(AND(ISNUMBER(Lab2_Dataset[[#This Row],[Revenue]]), ISNUMBER(Lab2_Dataset[[#This Row],[Quantity]]), Lab2_Dataset[[#This Row],[Quantity]]&lt;&gt;0), Lab2_Dataset[[#This Row],[Revenue]]/Lab2_Dataset[[#This Row],[Quantity]], "")</f>
        <v>47.98</v>
      </c>
      <c r="O184" s="2" t="b">
        <v>0</v>
      </c>
      <c r="P184" s="2">
        <f t="shared" si="5"/>
        <v>1468.71</v>
      </c>
    </row>
    <row r="185" spans="1:16" x14ac:dyDescent="0.35">
      <c r="A185" s="2" t="s">
        <v>391</v>
      </c>
      <c r="B185" s="2" t="s">
        <v>392</v>
      </c>
      <c r="C185" s="3">
        <v>45219</v>
      </c>
      <c r="D185" s="2" t="s">
        <v>11</v>
      </c>
      <c r="E185" s="2" t="s">
        <v>12</v>
      </c>
      <c r="F185" s="2">
        <v>9</v>
      </c>
      <c r="G185" s="2">
        <v>163.19</v>
      </c>
      <c r="H185" s="2">
        <v>1468.71</v>
      </c>
      <c r="I185" s="2" t="s">
        <v>38</v>
      </c>
      <c r="J185" s="2" t="str">
        <f t="shared" si="4"/>
        <v>Oct</v>
      </c>
      <c r="K185" s="4">
        <f>IF(AND(ISNUMBER(Lab2_Dataset[[#This Row],[Revenue]]), ISNUMBER(Lab2_Dataset[[#This Row],[Quantity]]), Lab2_Dataset[[#This Row],[Quantity]]&lt;&gt;0), Lab2_Dataset[[#This Row],[Revenue]]/Lab2_Dataset[[#This Row],[Quantity]], "")</f>
        <v>163.19</v>
      </c>
      <c r="O185" s="2" t="b">
        <v>0</v>
      </c>
      <c r="P185" s="2" t="str">
        <f t="shared" si="5"/>
        <v/>
      </c>
    </row>
    <row r="186" spans="1:16" x14ac:dyDescent="0.35">
      <c r="A186" s="2" t="s">
        <v>393</v>
      </c>
      <c r="B186" s="2" t="s">
        <v>394</v>
      </c>
      <c r="C186" s="3">
        <v>45315</v>
      </c>
      <c r="D186" s="2" t="s">
        <v>11</v>
      </c>
      <c r="E186" s="2" t="s">
        <v>28</v>
      </c>
      <c r="G186" s="2">
        <v>127.33</v>
      </c>
      <c r="I186" s="2" t="s">
        <v>13</v>
      </c>
      <c r="J186" s="2" t="str">
        <f t="shared" si="4"/>
        <v>Jan</v>
      </c>
      <c r="K1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6" s="2" t="b">
        <v>1</v>
      </c>
      <c r="P186" s="2" t="str">
        <f t="shared" si="5"/>
        <v/>
      </c>
    </row>
    <row r="187" spans="1:16" x14ac:dyDescent="0.35">
      <c r="A187" s="2" t="s">
        <v>395</v>
      </c>
      <c r="B187" s="2" t="s">
        <v>396</v>
      </c>
      <c r="C187" s="3">
        <v>45116</v>
      </c>
      <c r="D187" s="2" t="s">
        <v>11</v>
      </c>
      <c r="E187" s="2" t="s">
        <v>24</v>
      </c>
      <c r="G187" s="2">
        <v>47.36</v>
      </c>
      <c r="I187" s="2" t="s">
        <v>21</v>
      </c>
      <c r="J187" s="2" t="str">
        <f t="shared" si="4"/>
        <v>Jul</v>
      </c>
      <c r="K1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87" s="2" t="b">
        <v>1</v>
      </c>
      <c r="P187" s="2">
        <f t="shared" si="5"/>
        <v>222.4</v>
      </c>
    </row>
    <row r="188" spans="1:16" x14ac:dyDescent="0.35">
      <c r="A188" s="2" t="s">
        <v>397</v>
      </c>
      <c r="B188" s="2" t="s">
        <v>398</v>
      </c>
      <c r="C188" s="3">
        <v>45704</v>
      </c>
      <c r="D188" s="2" t="s">
        <v>69</v>
      </c>
      <c r="E188" s="2" t="s">
        <v>16</v>
      </c>
      <c r="F188" s="2">
        <v>4</v>
      </c>
      <c r="G188" s="2">
        <v>55.6</v>
      </c>
      <c r="H188" s="2">
        <v>222.4</v>
      </c>
      <c r="I188" s="2" t="s">
        <v>21</v>
      </c>
      <c r="J188" s="2" t="str">
        <f t="shared" si="4"/>
        <v>Feb</v>
      </c>
      <c r="K188" s="4">
        <f>IF(AND(ISNUMBER(Lab2_Dataset[[#This Row],[Revenue]]), ISNUMBER(Lab2_Dataset[[#This Row],[Quantity]]), Lab2_Dataset[[#This Row],[Quantity]]&lt;&gt;0), Lab2_Dataset[[#This Row],[Revenue]]/Lab2_Dataset[[#This Row],[Quantity]], "")</f>
        <v>55.6</v>
      </c>
      <c r="O188" s="2" t="b">
        <v>0</v>
      </c>
      <c r="P188" s="2">
        <f t="shared" si="5"/>
        <v>727.6</v>
      </c>
    </row>
    <row r="189" spans="1:16" x14ac:dyDescent="0.35">
      <c r="A189" s="2" t="s">
        <v>399</v>
      </c>
      <c r="B189" s="2" t="s">
        <v>400</v>
      </c>
      <c r="C189" s="3">
        <v>45732</v>
      </c>
      <c r="D189" s="2" t="s">
        <v>37</v>
      </c>
      <c r="E189" s="2" t="s">
        <v>16</v>
      </c>
      <c r="F189" s="2">
        <v>4</v>
      </c>
      <c r="G189" s="2">
        <v>181.9</v>
      </c>
      <c r="H189" s="2">
        <v>727.6</v>
      </c>
      <c r="I189" s="2" t="s">
        <v>21</v>
      </c>
      <c r="J189" s="2" t="str">
        <f t="shared" si="4"/>
        <v>Mar</v>
      </c>
      <c r="K189" s="4">
        <f>IF(AND(ISNUMBER(Lab2_Dataset[[#This Row],[Revenue]]), ISNUMBER(Lab2_Dataset[[#This Row],[Quantity]]), Lab2_Dataset[[#This Row],[Quantity]]&lt;&gt;0), Lab2_Dataset[[#This Row],[Revenue]]/Lab2_Dataset[[#This Row],[Quantity]], "")</f>
        <v>181.9</v>
      </c>
      <c r="O189" s="2" t="b">
        <v>0</v>
      </c>
      <c r="P189" s="2" t="str">
        <f t="shared" si="5"/>
        <v/>
      </c>
    </row>
    <row r="190" spans="1:16" x14ac:dyDescent="0.35">
      <c r="A190" s="2" t="s">
        <v>401</v>
      </c>
      <c r="B190" s="2" t="s">
        <v>402</v>
      </c>
      <c r="C190" s="3">
        <v>45062</v>
      </c>
      <c r="D190" s="2" t="s">
        <v>11</v>
      </c>
      <c r="E190" s="2" t="s">
        <v>47</v>
      </c>
      <c r="G190" s="2">
        <v>127.23</v>
      </c>
      <c r="I190" s="2" t="s">
        <v>52</v>
      </c>
      <c r="J190" s="2" t="str">
        <f t="shared" si="4"/>
        <v>May</v>
      </c>
      <c r="K1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0" s="2" t="b">
        <v>1</v>
      </c>
      <c r="P190" s="2">
        <f t="shared" si="5"/>
        <v>383.88</v>
      </c>
    </row>
    <row r="191" spans="1:16" x14ac:dyDescent="0.35">
      <c r="A191" s="2" t="s">
        <v>403</v>
      </c>
      <c r="B191" s="2" t="s">
        <v>404</v>
      </c>
      <c r="C191" s="3">
        <v>45288</v>
      </c>
      <c r="D191" s="2" t="s">
        <v>34</v>
      </c>
      <c r="E191" s="2" t="s">
        <v>16</v>
      </c>
      <c r="F191" s="2">
        <v>3</v>
      </c>
      <c r="G191" s="2">
        <v>127.96</v>
      </c>
      <c r="I191" s="2" t="s">
        <v>21</v>
      </c>
      <c r="J191" s="2" t="str">
        <f t="shared" si="4"/>
        <v>Dec</v>
      </c>
      <c r="K19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1" s="2" t="b">
        <v>0</v>
      </c>
      <c r="P191" s="2" t="str">
        <f t="shared" si="5"/>
        <v/>
      </c>
    </row>
    <row r="192" spans="1:16" x14ac:dyDescent="0.35">
      <c r="A192" s="2" t="s">
        <v>405</v>
      </c>
      <c r="B192" s="2" t="s">
        <v>406</v>
      </c>
      <c r="C192" s="3">
        <v>45525</v>
      </c>
      <c r="D192" s="2" t="s">
        <v>27</v>
      </c>
      <c r="E192" s="2" t="s">
        <v>12</v>
      </c>
      <c r="G192" s="2">
        <v>51.88</v>
      </c>
      <c r="I192" s="2" t="s">
        <v>21</v>
      </c>
      <c r="J192" s="2" t="str">
        <f t="shared" si="4"/>
        <v>Aug</v>
      </c>
      <c r="K1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2" s="2" t="b">
        <v>1</v>
      </c>
      <c r="P192" s="2" t="str">
        <f t="shared" si="5"/>
        <v/>
      </c>
    </row>
    <row r="193" spans="1:16" x14ac:dyDescent="0.35">
      <c r="A193" s="2" t="s">
        <v>407</v>
      </c>
      <c r="B193" s="2" t="s">
        <v>408</v>
      </c>
      <c r="C193" s="3">
        <v>45536</v>
      </c>
      <c r="D193" s="2" t="s">
        <v>27</v>
      </c>
      <c r="E193" s="2" t="s">
        <v>47</v>
      </c>
      <c r="G193" s="2">
        <v>34.46</v>
      </c>
      <c r="I193" s="2" t="s">
        <v>38</v>
      </c>
      <c r="J193" s="2" t="str">
        <f t="shared" si="4"/>
        <v>Sep</v>
      </c>
      <c r="K1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3" s="2" t="b">
        <v>1</v>
      </c>
      <c r="P193" s="2" t="str">
        <f t="shared" si="5"/>
        <v/>
      </c>
    </row>
    <row r="194" spans="1:16" x14ac:dyDescent="0.35">
      <c r="A194" s="2" t="s">
        <v>409</v>
      </c>
      <c r="B194" s="2" t="s">
        <v>410</v>
      </c>
      <c r="C194" s="3">
        <v>45247</v>
      </c>
      <c r="D194" s="2" t="s">
        <v>27</v>
      </c>
      <c r="E194" s="2" t="s">
        <v>24</v>
      </c>
      <c r="G194" s="2">
        <v>55.54</v>
      </c>
      <c r="I194" s="2" t="s">
        <v>13</v>
      </c>
      <c r="J194" s="2" t="str">
        <f t="shared" ref="J194:J257" si="6">TEXT(C194,"mmm")</f>
        <v>Nov</v>
      </c>
      <c r="K1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4" s="2" t="b">
        <v>1</v>
      </c>
      <c r="P194" s="2" t="str">
        <f t="shared" si="5"/>
        <v/>
      </c>
    </row>
    <row r="195" spans="1:16" x14ac:dyDescent="0.35">
      <c r="A195" s="2" t="s">
        <v>411</v>
      </c>
      <c r="B195" s="2" t="s">
        <v>412</v>
      </c>
      <c r="C195" s="3">
        <v>45193</v>
      </c>
      <c r="D195" s="2" t="s">
        <v>34</v>
      </c>
      <c r="E195" s="2" t="s">
        <v>28</v>
      </c>
      <c r="G195" s="2">
        <v>45.77</v>
      </c>
      <c r="I195" s="2" t="s">
        <v>38</v>
      </c>
      <c r="J195" s="2" t="str">
        <f t="shared" si="6"/>
        <v>Sep</v>
      </c>
      <c r="K1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95" s="2" t="b">
        <v>1</v>
      </c>
      <c r="P195" s="2">
        <f t="shared" ref="P195:P258" si="7">IF(O196=TRUE,"",F196*G196)</f>
        <v>1589.58</v>
      </c>
    </row>
    <row r="196" spans="1:16" x14ac:dyDescent="0.35">
      <c r="A196" s="2" t="s">
        <v>413</v>
      </c>
      <c r="B196" s="2" t="s">
        <v>414</v>
      </c>
      <c r="C196" s="3">
        <v>45584</v>
      </c>
      <c r="D196" s="2" t="s">
        <v>27</v>
      </c>
      <c r="E196" s="2" t="s">
        <v>12</v>
      </c>
      <c r="F196" s="2">
        <v>9</v>
      </c>
      <c r="G196" s="2">
        <v>176.62</v>
      </c>
      <c r="H196" s="2">
        <v>1589.58</v>
      </c>
      <c r="I196" s="2" t="s">
        <v>13</v>
      </c>
      <c r="J196" s="2" t="str">
        <f t="shared" si="6"/>
        <v>Oct</v>
      </c>
      <c r="K196" s="4">
        <f>IF(AND(ISNUMBER(Lab2_Dataset[[#This Row],[Revenue]]), ISNUMBER(Lab2_Dataset[[#This Row],[Quantity]]), Lab2_Dataset[[#This Row],[Quantity]]&lt;&gt;0), Lab2_Dataset[[#This Row],[Revenue]]/Lab2_Dataset[[#This Row],[Quantity]], "")</f>
        <v>176.62</v>
      </c>
      <c r="O196" s="2" t="b">
        <v>0</v>
      </c>
      <c r="P196" s="2">
        <f t="shared" si="7"/>
        <v>158.72999999999999</v>
      </c>
    </row>
    <row r="197" spans="1:16" x14ac:dyDescent="0.35">
      <c r="A197" s="2" t="s">
        <v>415</v>
      </c>
      <c r="B197" s="2" t="s">
        <v>416</v>
      </c>
      <c r="C197" s="3">
        <v>45321</v>
      </c>
      <c r="D197" s="2" t="s">
        <v>37</v>
      </c>
      <c r="E197" s="2" t="s">
        <v>16</v>
      </c>
      <c r="F197" s="2">
        <v>1</v>
      </c>
      <c r="G197" s="2">
        <v>158.72999999999999</v>
      </c>
      <c r="H197" s="2">
        <v>158.72999999999999</v>
      </c>
      <c r="I197" s="2" t="s">
        <v>17</v>
      </c>
      <c r="J197" s="2" t="str">
        <f t="shared" si="6"/>
        <v>Jan</v>
      </c>
      <c r="K197" s="4">
        <f>IF(AND(ISNUMBER(Lab2_Dataset[[#This Row],[Revenue]]), ISNUMBER(Lab2_Dataset[[#This Row],[Quantity]]), Lab2_Dataset[[#This Row],[Quantity]]&lt;&gt;0), Lab2_Dataset[[#This Row],[Revenue]]/Lab2_Dataset[[#This Row],[Quantity]], "")</f>
        <v>158.72999999999999</v>
      </c>
      <c r="O197" s="2" t="b">
        <v>0</v>
      </c>
      <c r="P197" s="2">
        <f t="shared" si="7"/>
        <v>278.8</v>
      </c>
    </row>
    <row r="198" spans="1:16" x14ac:dyDescent="0.35">
      <c r="A198" s="2" t="s">
        <v>417</v>
      </c>
      <c r="B198" s="2" t="s">
        <v>418</v>
      </c>
      <c r="C198" s="3">
        <v>45261</v>
      </c>
      <c r="D198" s="2" t="s">
        <v>27</v>
      </c>
      <c r="E198" s="2" t="s">
        <v>24</v>
      </c>
      <c r="F198" s="2">
        <v>8</v>
      </c>
      <c r="G198" s="2">
        <v>34.85</v>
      </c>
      <c r="H198" s="2">
        <v>278.8</v>
      </c>
      <c r="I198" s="2" t="s">
        <v>21</v>
      </c>
      <c r="J198" s="2" t="str">
        <f t="shared" si="6"/>
        <v>Dec</v>
      </c>
      <c r="K198" s="4">
        <f>IF(AND(ISNUMBER(Lab2_Dataset[[#This Row],[Revenue]]), ISNUMBER(Lab2_Dataset[[#This Row],[Quantity]]), Lab2_Dataset[[#This Row],[Quantity]]&lt;&gt;0), Lab2_Dataset[[#This Row],[Revenue]]/Lab2_Dataset[[#This Row],[Quantity]], "")</f>
        <v>34.85</v>
      </c>
      <c r="O198" s="2" t="b">
        <v>0</v>
      </c>
      <c r="P198" s="2">
        <f t="shared" si="7"/>
        <v>925.81999999999994</v>
      </c>
    </row>
    <row r="199" spans="1:16" x14ac:dyDescent="0.35">
      <c r="A199" s="2" t="s">
        <v>419</v>
      </c>
      <c r="B199" s="2" t="s">
        <v>420</v>
      </c>
      <c r="C199" s="3">
        <v>45688</v>
      </c>
      <c r="D199" s="2" t="s">
        <v>11</v>
      </c>
      <c r="E199" s="2" t="s">
        <v>12</v>
      </c>
      <c r="F199" s="2">
        <v>7</v>
      </c>
      <c r="G199" s="2">
        <v>132.26</v>
      </c>
      <c r="H199" s="2">
        <v>925.82</v>
      </c>
      <c r="I199" s="2" t="s">
        <v>31</v>
      </c>
      <c r="J199" s="2" t="str">
        <f t="shared" si="6"/>
        <v>Jan</v>
      </c>
      <c r="K199" s="4">
        <f>IF(AND(ISNUMBER(Lab2_Dataset[[#This Row],[Revenue]]), ISNUMBER(Lab2_Dataset[[#This Row],[Quantity]]), Lab2_Dataset[[#This Row],[Quantity]]&lt;&gt;0), Lab2_Dataset[[#This Row],[Revenue]]/Lab2_Dataset[[#This Row],[Quantity]], "")</f>
        <v>132.26000000000002</v>
      </c>
      <c r="O199" s="2" t="b">
        <v>0</v>
      </c>
      <c r="P199" s="2">
        <f t="shared" si="7"/>
        <v>324.08</v>
      </c>
    </row>
    <row r="200" spans="1:16" x14ac:dyDescent="0.35">
      <c r="A200" s="2" t="s">
        <v>421</v>
      </c>
      <c r="B200" s="2" t="s">
        <v>422</v>
      </c>
      <c r="C200" s="3">
        <v>45188</v>
      </c>
      <c r="D200" s="2" t="s">
        <v>69</v>
      </c>
      <c r="E200" s="2" t="s">
        <v>16</v>
      </c>
      <c r="F200" s="2">
        <v>2</v>
      </c>
      <c r="G200" s="2">
        <v>162.04</v>
      </c>
      <c r="H200" s="2">
        <v>324.08</v>
      </c>
      <c r="I200" s="2" t="s">
        <v>13</v>
      </c>
      <c r="J200" s="2" t="str">
        <f t="shared" si="6"/>
        <v>Sep</v>
      </c>
      <c r="K200" s="4">
        <f>IF(AND(ISNUMBER(Lab2_Dataset[[#This Row],[Revenue]]), ISNUMBER(Lab2_Dataset[[#This Row],[Quantity]]), Lab2_Dataset[[#This Row],[Quantity]]&lt;&gt;0), Lab2_Dataset[[#This Row],[Revenue]]/Lab2_Dataset[[#This Row],[Quantity]], "")</f>
        <v>162.04</v>
      </c>
      <c r="O200" s="2" t="b">
        <v>0</v>
      </c>
      <c r="P200" s="2">
        <f t="shared" si="7"/>
        <v>170.32</v>
      </c>
    </row>
    <row r="201" spans="1:16" x14ac:dyDescent="0.35">
      <c r="A201" s="2" t="s">
        <v>423</v>
      </c>
      <c r="B201" s="2" t="s">
        <v>424</v>
      </c>
      <c r="C201" s="3">
        <v>45061</v>
      </c>
      <c r="D201" s="2" t="s">
        <v>34</v>
      </c>
      <c r="E201" s="2" t="s">
        <v>47</v>
      </c>
      <c r="F201" s="2">
        <v>8</v>
      </c>
      <c r="G201" s="2">
        <v>21.29</v>
      </c>
      <c r="H201" s="2">
        <v>170.32</v>
      </c>
      <c r="I201" s="2" t="s">
        <v>13</v>
      </c>
      <c r="J201" s="2" t="str">
        <f t="shared" si="6"/>
        <v>May</v>
      </c>
      <c r="K201" s="4">
        <f>IF(AND(ISNUMBER(Lab2_Dataset[[#This Row],[Revenue]]), ISNUMBER(Lab2_Dataset[[#This Row],[Quantity]]), Lab2_Dataset[[#This Row],[Quantity]]&lt;&gt;0), Lab2_Dataset[[#This Row],[Revenue]]/Lab2_Dataset[[#This Row],[Quantity]], "")</f>
        <v>21.29</v>
      </c>
      <c r="O201" s="2" t="b">
        <v>0</v>
      </c>
      <c r="P201" s="2" t="str">
        <f t="shared" si="7"/>
        <v/>
      </c>
    </row>
    <row r="202" spans="1:16" x14ac:dyDescent="0.35">
      <c r="A202" s="2" t="s">
        <v>425</v>
      </c>
      <c r="B202" s="2" t="s">
        <v>426</v>
      </c>
      <c r="C202" s="3">
        <v>45285</v>
      </c>
      <c r="D202" s="2" t="s">
        <v>69</v>
      </c>
      <c r="E202" s="2" t="s">
        <v>24</v>
      </c>
      <c r="G202" s="2">
        <v>89.11</v>
      </c>
      <c r="I202" s="2" t="s">
        <v>13</v>
      </c>
      <c r="J202" s="2" t="str">
        <f t="shared" si="6"/>
        <v>Dec</v>
      </c>
      <c r="K20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02" s="2" t="b">
        <v>1</v>
      </c>
      <c r="P202" s="2">
        <f t="shared" si="7"/>
        <v>1014.03</v>
      </c>
    </row>
    <row r="203" spans="1:16" x14ac:dyDescent="0.35">
      <c r="A203" s="2" t="s">
        <v>427</v>
      </c>
      <c r="B203" s="2" t="s">
        <v>428</v>
      </c>
      <c r="C203" s="3">
        <v>45359</v>
      </c>
      <c r="D203" s="2" t="s">
        <v>34</v>
      </c>
      <c r="E203" s="2" t="s">
        <v>16</v>
      </c>
      <c r="F203" s="2">
        <v>9</v>
      </c>
      <c r="G203" s="2">
        <v>112.67</v>
      </c>
      <c r="H203" s="2">
        <v>1014.03</v>
      </c>
      <c r="I203" s="2" t="s">
        <v>13</v>
      </c>
      <c r="J203" s="2" t="str">
        <f t="shared" si="6"/>
        <v>Mar</v>
      </c>
      <c r="K203" s="4">
        <f>IF(AND(ISNUMBER(Lab2_Dataset[[#This Row],[Revenue]]), ISNUMBER(Lab2_Dataset[[#This Row],[Quantity]]), Lab2_Dataset[[#This Row],[Quantity]]&lt;&gt;0), Lab2_Dataset[[#This Row],[Revenue]]/Lab2_Dataset[[#This Row],[Quantity]], "")</f>
        <v>112.67</v>
      </c>
      <c r="O203" s="2" t="b">
        <v>0</v>
      </c>
      <c r="P203" s="2">
        <f t="shared" si="7"/>
        <v>1406.52</v>
      </c>
    </row>
    <row r="204" spans="1:16" x14ac:dyDescent="0.35">
      <c r="A204" s="2" t="s">
        <v>429</v>
      </c>
      <c r="B204" s="2" t="s">
        <v>430</v>
      </c>
      <c r="C204" s="3">
        <v>45305</v>
      </c>
      <c r="D204" s="2" t="s">
        <v>69</v>
      </c>
      <c r="E204" s="2" t="s">
        <v>28</v>
      </c>
      <c r="F204" s="2">
        <v>9</v>
      </c>
      <c r="G204" s="2">
        <v>156.28</v>
      </c>
      <c r="H204" s="2">
        <v>1406.52</v>
      </c>
      <c r="I204" s="2" t="s">
        <v>31</v>
      </c>
      <c r="J204" s="2" t="str">
        <f t="shared" si="6"/>
        <v>Jan</v>
      </c>
      <c r="K204" s="4">
        <f>IF(AND(ISNUMBER(Lab2_Dataset[[#This Row],[Revenue]]), ISNUMBER(Lab2_Dataset[[#This Row],[Quantity]]), Lab2_Dataset[[#This Row],[Quantity]]&lt;&gt;0), Lab2_Dataset[[#This Row],[Revenue]]/Lab2_Dataset[[#This Row],[Quantity]], "")</f>
        <v>156.28</v>
      </c>
      <c r="O204" s="2" t="b">
        <v>0</v>
      </c>
      <c r="P204" s="2">
        <f t="shared" si="7"/>
        <v>261</v>
      </c>
    </row>
    <row r="205" spans="1:16" x14ac:dyDescent="0.35">
      <c r="A205" s="2" t="s">
        <v>431</v>
      </c>
      <c r="B205" s="2" t="s">
        <v>432</v>
      </c>
      <c r="C205" s="3">
        <v>45660</v>
      </c>
      <c r="D205" s="2" t="s">
        <v>34</v>
      </c>
      <c r="E205" s="2" t="s">
        <v>12</v>
      </c>
      <c r="F205" s="2">
        <v>2</v>
      </c>
      <c r="G205" s="2">
        <v>130.5</v>
      </c>
      <c r="H205" s="2">
        <v>261</v>
      </c>
      <c r="I205" s="2" t="s">
        <v>31</v>
      </c>
      <c r="J205" s="2" t="str">
        <f t="shared" si="6"/>
        <v>Jan</v>
      </c>
      <c r="K205" s="4">
        <f>IF(AND(ISNUMBER(Lab2_Dataset[[#This Row],[Revenue]]), ISNUMBER(Lab2_Dataset[[#This Row],[Quantity]]), Lab2_Dataset[[#This Row],[Quantity]]&lt;&gt;0), Lab2_Dataset[[#This Row],[Revenue]]/Lab2_Dataset[[#This Row],[Quantity]], "")</f>
        <v>130.5</v>
      </c>
      <c r="O205" s="2" t="b">
        <v>0</v>
      </c>
      <c r="P205" s="2" t="str">
        <f t="shared" si="7"/>
        <v/>
      </c>
    </row>
    <row r="206" spans="1:16" x14ac:dyDescent="0.35">
      <c r="A206" s="2" t="s">
        <v>433</v>
      </c>
      <c r="B206" s="2" t="s">
        <v>434</v>
      </c>
      <c r="C206" s="3">
        <v>45777</v>
      </c>
      <c r="D206" s="2" t="s">
        <v>20</v>
      </c>
      <c r="E206" s="2" t="s">
        <v>47</v>
      </c>
      <c r="G206" s="2">
        <v>116.95</v>
      </c>
      <c r="I206" s="2" t="s">
        <v>21</v>
      </c>
      <c r="J206" s="2" t="str">
        <f t="shared" si="6"/>
        <v>Apr</v>
      </c>
      <c r="K2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06" s="2" t="b">
        <v>1</v>
      </c>
      <c r="P206" s="2" t="str">
        <f t="shared" si="7"/>
        <v/>
      </c>
    </row>
    <row r="207" spans="1:16" x14ac:dyDescent="0.35">
      <c r="A207" s="2" t="s">
        <v>435</v>
      </c>
      <c r="B207" s="2" t="s">
        <v>436</v>
      </c>
      <c r="C207" s="3">
        <v>45545</v>
      </c>
      <c r="D207" s="2" t="s">
        <v>20</v>
      </c>
      <c r="E207" s="2" t="s">
        <v>28</v>
      </c>
      <c r="G207" s="2">
        <v>44.5</v>
      </c>
      <c r="I207" s="2" t="s">
        <v>17</v>
      </c>
      <c r="J207" s="2" t="str">
        <f t="shared" si="6"/>
        <v>Sep</v>
      </c>
      <c r="K2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07" s="2" t="b">
        <v>1</v>
      </c>
      <c r="P207" s="2">
        <f t="shared" si="7"/>
        <v>514.78000000000009</v>
      </c>
    </row>
    <row r="208" spans="1:16" x14ac:dyDescent="0.35">
      <c r="A208" s="2" t="s">
        <v>437</v>
      </c>
      <c r="B208" s="2" t="s">
        <v>438</v>
      </c>
      <c r="C208" s="3">
        <v>45746</v>
      </c>
      <c r="D208" s="2" t="s">
        <v>11</v>
      </c>
      <c r="E208" s="2" t="s">
        <v>16</v>
      </c>
      <c r="F208" s="2">
        <v>7</v>
      </c>
      <c r="G208" s="2">
        <v>73.540000000000006</v>
      </c>
      <c r="H208" s="2">
        <v>514.78</v>
      </c>
      <c r="I208" s="2" t="s">
        <v>31</v>
      </c>
      <c r="J208" s="2" t="str">
        <f t="shared" si="6"/>
        <v>Mar</v>
      </c>
      <c r="K208" s="4">
        <f>IF(AND(ISNUMBER(Lab2_Dataset[[#This Row],[Revenue]]), ISNUMBER(Lab2_Dataset[[#This Row],[Quantity]]), Lab2_Dataset[[#This Row],[Quantity]]&lt;&gt;0), Lab2_Dataset[[#This Row],[Revenue]]/Lab2_Dataset[[#This Row],[Quantity]], "")</f>
        <v>73.539999999999992</v>
      </c>
      <c r="O208" s="2" t="b">
        <v>0</v>
      </c>
      <c r="P208" s="2">
        <f t="shared" si="7"/>
        <v>1638.8999999999999</v>
      </c>
    </row>
    <row r="209" spans="1:16" x14ac:dyDescent="0.35">
      <c r="A209" s="2" t="s">
        <v>439</v>
      </c>
      <c r="B209" s="2" t="s">
        <v>440</v>
      </c>
      <c r="C209" s="3">
        <v>45606</v>
      </c>
      <c r="D209" s="2" t="s">
        <v>69</v>
      </c>
      <c r="E209" s="2" t="s">
        <v>24</v>
      </c>
      <c r="F209" s="2">
        <v>9</v>
      </c>
      <c r="G209" s="2">
        <v>182.1</v>
      </c>
      <c r="H209" s="2">
        <v>1638.9</v>
      </c>
      <c r="I209" s="2" t="s">
        <v>17</v>
      </c>
      <c r="J209" s="2" t="str">
        <f t="shared" si="6"/>
        <v>Nov</v>
      </c>
      <c r="K209" s="4">
        <f>IF(AND(ISNUMBER(Lab2_Dataset[[#This Row],[Revenue]]), ISNUMBER(Lab2_Dataset[[#This Row],[Quantity]]), Lab2_Dataset[[#This Row],[Quantity]]&lt;&gt;0), Lab2_Dataset[[#This Row],[Revenue]]/Lab2_Dataset[[#This Row],[Quantity]], "")</f>
        <v>182.10000000000002</v>
      </c>
      <c r="O209" s="2" t="b">
        <v>0</v>
      </c>
      <c r="P209" s="2" t="str">
        <f t="shared" si="7"/>
        <v/>
      </c>
    </row>
    <row r="210" spans="1:16" x14ac:dyDescent="0.35">
      <c r="A210" s="2" t="s">
        <v>441</v>
      </c>
      <c r="B210" s="2" t="s">
        <v>442</v>
      </c>
      <c r="C210" s="3">
        <v>45121</v>
      </c>
      <c r="D210" s="2" t="s">
        <v>20</v>
      </c>
      <c r="E210" s="2" t="s">
        <v>16</v>
      </c>
      <c r="G210" s="2">
        <v>27.01</v>
      </c>
      <c r="I210" s="2" t="s">
        <v>17</v>
      </c>
      <c r="J210" s="2" t="str">
        <f t="shared" si="6"/>
        <v>Jul</v>
      </c>
      <c r="K2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0" s="2" t="b">
        <v>1</v>
      </c>
      <c r="P210" s="2">
        <f t="shared" si="7"/>
        <v>132.46</v>
      </c>
    </row>
    <row r="211" spans="1:16" x14ac:dyDescent="0.35">
      <c r="A211" s="2" t="s">
        <v>443</v>
      </c>
      <c r="B211" s="2" t="s">
        <v>444</v>
      </c>
      <c r="C211" s="3">
        <v>45540</v>
      </c>
      <c r="D211" s="2" t="s">
        <v>34</v>
      </c>
      <c r="E211" s="2" t="s">
        <v>24</v>
      </c>
      <c r="F211" s="2">
        <v>1</v>
      </c>
      <c r="G211" s="2">
        <v>132.46</v>
      </c>
      <c r="H211" s="2">
        <v>132.46</v>
      </c>
      <c r="I211" s="2" t="s">
        <v>38</v>
      </c>
      <c r="J211" s="2" t="str">
        <f t="shared" si="6"/>
        <v>Sep</v>
      </c>
      <c r="K211" s="4">
        <f>IF(AND(ISNUMBER(Lab2_Dataset[[#This Row],[Revenue]]), ISNUMBER(Lab2_Dataset[[#This Row],[Quantity]]), Lab2_Dataset[[#This Row],[Quantity]]&lt;&gt;0), Lab2_Dataset[[#This Row],[Revenue]]/Lab2_Dataset[[#This Row],[Quantity]], "")</f>
        <v>132.46</v>
      </c>
      <c r="O211" s="2" t="b">
        <v>0</v>
      </c>
      <c r="P211" s="2" t="str">
        <f t="shared" si="7"/>
        <v/>
      </c>
    </row>
    <row r="212" spans="1:16" x14ac:dyDescent="0.35">
      <c r="A212" s="2" t="s">
        <v>445</v>
      </c>
      <c r="B212" s="2" t="s">
        <v>446</v>
      </c>
      <c r="C212" s="3">
        <v>45361</v>
      </c>
      <c r="D212" s="2" t="s">
        <v>34</v>
      </c>
      <c r="E212" s="2" t="s">
        <v>16</v>
      </c>
      <c r="G212" s="2">
        <v>66.12</v>
      </c>
      <c r="I212" s="2" t="s">
        <v>52</v>
      </c>
      <c r="J212" s="2" t="str">
        <f t="shared" si="6"/>
        <v>Mar</v>
      </c>
      <c r="K2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2" s="2" t="b">
        <v>1</v>
      </c>
      <c r="P212" s="2">
        <f t="shared" si="7"/>
        <v>76.38</v>
      </c>
    </row>
    <row r="213" spans="1:16" x14ac:dyDescent="0.35">
      <c r="A213" s="2" t="s">
        <v>447</v>
      </c>
      <c r="B213" s="2" t="s">
        <v>448</v>
      </c>
      <c r="C213" s="3">
        <v>45234</v>
      </c>
      <c r="D213" s="2" t="s">
        <v>11</v>
      </c>
      <c r="E213" s="2" t="s">
        <v>28</v>
      </c>
      <c r="F213" s="2">
        <v>1</v>
      </c>
      <c r="G213" s="2">
        <v>76.38</v>
      </c>
      <c r="H213" s="2">
        <v>76.38</v>
      </c>
      <c r="I213" s="2" t="s">
        <v>21</v>
      </c>
      <c r="J213" s="2" t="str">
        <f t="shared" si="6"/>
        <v>Nov</v>
      </c>
      <c r="K213" s="4">
        <f>IF(AND(ISNUMBER(Lab2_Dataset[[#This Row],[Revenue]]), ISNUMBER(Lab2_Dataset[[#This Row],[Quantity]]), Lab2_Dataset[[#This Row],[Quantity]]&lt;&gt;0), Lab2_Dataset[[#This Row],[Revenue]]/Lab2_Dataset[[#This Row],[Quantity]], "")</f>
        <v>76.38</v>
      </c>
      <c r="O213" s="2" t="b">
        <v>0</v>
      </c>
      <c r="P213" s="2" t="str">
        <f t="shared" si="7"/>
        <v/>
      </c>
    </row>
    <row r="214" spans="1:16" x14ac:dyDescent="0.35">
      <c r="A214" s="2" t="s">
        <v>449</v>
      </c>
      <c r="B214" s="2" t="s">
        <v>450</v>
      </c>
      <c r="C214" s="3">
        <v>45686</v>
      </c>
      <c r="D214" s="2" t="s">
        <v>11</v>
      </c>
      <c r="E214" s="2" t="s">
        <v>28</v>
      </c>
      <c r="G214" s="2">
        <v>52.42</v>
      </c>
      <c r="I214" s="2" t="s">
        <v>17</v>
      </c>
      <c r="J214" s="2" t="str">
        <f t="shared" si="6"/>
        <v>Jan</v>
      </c>
      <c r="K2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4" s="2" t="b">
        <v>1</v>
      </c>
      <c r="P214" s="2" t="str">
        <f t="shared" si="7"/>
        <v/>
      </c>
    </row>
    <row r="215" spans="1:16" x14ac:dyDescent="0.35">
      <c r="A215" s="2" t="s">
        <v>451</v>
      </c>
      <c r="B215" s="2" t="s">
        <v>452</v>
      </c>
      <c r="C215" s="3">
        <v>45363</v>
      </c>
      <c r="D215" s="2" t="s">
        <v>27</v>
      </c>
      <c r="E215" s="2" t="s">
        <v>16</v>
      </c>
      <c r="G215" s="2">
        <v>91.89</v>
      </c>
      <c r="I215" s="2" t="s">
        <v>21</v>
      </c>
      <c r="J215" s="2" t="str">
        <f t="shared" si="6"/>
        <v>Mar</v>
      </c>
      <c r="K2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5" s="2" t="b">
        <v>1</v>
      </c>
      <c r="P215" s="2">
        <f t="shared" si="7"/>
        <v>402.71000000000004</v>
      </c>
    </row>
    <row r="216" spans="1:16" x14ac:dyDescent="0.35">
      <c r="A216" s="2" t="s">
        <v>453</v>
      </c>
      <c r="B216" s="2" t="s">
        <v>454</v>
      </c>
      <c r="C216" s="3">
        <v>45375</v>
      </c>
      <c r="D216" s="2" t="s">
        <v>11</v>
      </c>
      <c r="E216" s="2" t="s">
        <v>16</v>
      </c>
      <c r="F216" s="2">
        <v>7</v>
      </c>
      <c r="G216" s="2">
        <v>57.53</v>
      </c>
      <c r="H216" s="2">
        <v>402.71</v>
      </c>
      <c r="I216" s="2" t="s">
        <v>21</v>
      </c>
      <c r="J216" s="2" t="str">
        <f t="shared" si="6"/>
        <v>Mar</v>
      </c>
      <c r="K216" s="4">
        <f>IF(AND(ISNUMBER(Lab2_Dataset[[#This Row],[Revenue]]), ISNUMBER(Lab2_Dataset[[#This Row],[Quantity]]), Lab2_Dataset[[#This Row],[Quantity]]&lt;&gt;0), Lab2_Dataset[[#This Row],[Revenue]]/Lab2_Dataset[[#This Row],[Quantity]], "")</f>
        <v>57.529999999999994</v>
      </c>
      <c r="O216" s="2" t="b">
        <v>0</v>
      </c>
      <c r="P216" s="2" t="str">
        <f t="shared" si="7"/>
        <v/>
      </c>
    </row>
    <row r="217" spans="1:16" x14ac:dyDescent="0.35">
      <c r="A217" s="2" t="s">
        <v>455</v>
      </c>
      <c r="B217" s="2" t="s">
        <v>456</v>
      </c>
      <c r="C217" s="3">
        <v>45760</v>
      </c>
      <c r="D217" s="2" t="s">
        <v>34</v>
      </c>
      <c r="E217" s="2" t="s">
        <v>24</v>
      </c>
      <c r="G217" s="2">
        <v>36.72</v>
      </c>
      <c r="I217" s="2" t="s">
        <v>21</v>
      </c>
      <c r="J217" s="2" t="str">
        <f t="shared" si="6"/>
        <v>Apr</v>
      </c>
      <c r="K2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7" s="2" t="b">
        <v>1</v>
      </c>
      <c r="P217" s="2" t="str">
        <f t="shared" si="7"/>
        <v/>
      </c>
    </row>
    <row r="218" spans="1:16" x14ac:dyDescent="0.35">
      <c r="A218" s="2" t="s">
        <v>457</v>
      </c>
      <c r="B218" s="2" t="s">
        <v>458</v>
      </c>
      <c r="C218" s="3">
        <v>45774</v>
      </c>
      <c r="D218" s="2" t="s">
        <v>69</v>
      </c>
      <c r="E218" s="2" t="s">
        <v>16</v>
      </c>
      <c r="G218" s="2">
        <v>87</v>
      </c>
      <c r="I218" s="2" t="s">
        <v>21</v>
      </c>
      <c r="J218" s="2" t="str">
        <f t="shared" si="6"/>
        <v>Apr</v>
      </c>
      <c r="K21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8" s="2" t="b">
        <v>1</v>
      </c>
      <c r="P218" s="2" t="str">
        <f t="shared" si="7"/>
        <v/>
      </c>
    </row>
    <row r="219" spans="1:16" x14ac:dyDescent="0.35">
      <c r="A219" s="2" t="s">
        <v>459</v>
      </c>
      <c r="B219" s="2" t="s">
        <v>460</v>
      </c>
      <c r="C219" s="3">
        <v>45631</v>
      </c>
      <c r="D219" s="2" t="s">
        <v>37</v>
      </c>
      <c r="E219" s="2" t="s">
        <v>12</v>
      </c>
      <c r="G219" s="2">
        <v>166.72</v>
      </c>
      <c r="I219" s="2" t="s">
        <v>38</v>
      </c>
      <c r="J219" s="2" t="str">
        <f t="shared" si="6"/>
        <v>Dec</v>
      </c>
      <c r="K21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19" s="2" t="b">
        <v>1</v>
      </c>
      <c r="P219" s="2">
        <f t="shared" si="7"/>
        <v>357.36</v>
      </c>
    </row>
    <row r="220" spans="1:16" x14ac:dyDescent="0.35">
      <c r="A220" s="2" t="s">
        <v>461</v>
      </c>
      <c r="B220" s="2" t="s">
        <v>462</v>
      </c>
      <c r="C220" s="3">
        <v>45764</v>
      </c>
      <c r="D220" s="2" t="s">
        <v>34</v>
      </c>
      <c r="E220" s="2" t="s">
        <v>28</v>
      </c>
      <c r="F220" s="2">
        <v>3</v>
      </c>
      <c r="G220" s="2">
        <v>119.12</v>
      </c>
      <c r="H220" s="2">
        <v>357.36</v>
      </c>
      <c r="I220" s="2" t="s">
        <v>52</v>
      </c>
      <c r="J220" s="2" t="str">
        <f t="shared" si="6"/>
        <v>Apr</v>
      </c>
      <c r="K220" s="4">
        <f>IF(AND(ISNUMBER(Lab2_Dataset[[#This Row],[Revenue]]), ISNUMBER(Lab2_Dataset[[#This Row],[Quantity]]), Lab2_Dataset[[#This Row],[Quantity]]&lt;&gt;0), Lab2_Dataset[[#This Row],[Revenue]]/Lab2_Dataset[[#This Row],[Quantity]], "")</f>
        <v>119.12</v>
      </c>
      <c r="O220" s="2" t="b">
        <v>0</v>
      </c>
      <c r="P220" s="2">
        <f t="shared" si="7"/>
        <v>254.79000000000002</v>
      </c>
    </row>
    <row r="221" spans="1:16" x14ac:dyDescent="0.35">
      <c r="A221" s="2" t="s">
        <v>463</v>
      </c>
      <c r="B221" s="2" t="s">
        <v>464</v>
      </c>
      <c r="C221" s="3">
        <v>45600</v>
      </c>
      <c r="D221" s="2" t="s">
        <v>11</v>
      </c>
      <c r="E221" s="2" t="s">
        <v>12</v>
      </c>
      <c r="F221" s="2">
        <v>3</v>
      </c>
      <c r="G221" s="2">
        <v>84.93</v>
      </c>
      <c r="H221" s="2">
        <v>254.79</v>
      </c>
      <c r="I221" s="2" t="s">
        <v>21</v>
      </c>
      <c r="J221" s="2" t="str">
        <f t="shared" si="6"/>
        <v>Nov</v>
      </c>
      <c r="K221" s="4">
        <f>IF(AND(ISNUMBER(Lab2_Dataset[[#This Row],[Revenue]]), ISNUMBER(Lab2_Dataset[[#This Row],[Quantity]]), Lab2_Dataset[[#This Row],[Quantity]]&lt;&gt;0), Lab2_Dataset[[#This Row],[Revenue]]/Lab2_Dataset[[#This Row],[Quantity]], "")</f>
        <v>84.929999999999993</v>
      </c>
      <c r="O221" s="2" t="b">
        <v>0</v>
      </c>
      <c r="P221" s="2" t="str">
        <f t="shared" si="7"/>
        <v/>
      </c>
    </row>
    <row r="222" spans="1:16" x14ac:dyDescent="0.35">
      <c r="A222" s="2" t="s">
        <v>465</v>
      </c>
      <c r="B222" s="2" t="s">
        <v>466</v>
      </c>
      <c r="C222" s="3">
        <v>45598</v>
      </c>
      <c r="D222" s="2" t="s">
        <v>69</v>
      </c>
      <c r="E222" s="2" t="s">
        <v>28</v>
      </c>
      <c r="G222" s="2">
        <v>184.48</v>
      </c>
      <c r="I222" s="2" t="s">
        <v>38</v>
      </c>
      <c r="J222" s="2" t="str">
        <f t="shared" si="6"/>
        <v>Nov</v>
      </c>
      <c r="K2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22" s="2" t="b">
        <v>1</v>
      </c>
      <c r="P222" s="2">
        <f t="shared" si="7"/>
        <v>705.6</v>
      </c>
    </row>
    <row r="223" spans="1:16" x14ac:dyDescent="0.35">
      <c r="A223" s="2" t="s">
        <v>467</v>
      </c>
      <c r="B223" s="2" t="s">
        <v>468</v>
      </c>
      <c r="C223" s="3">
        <v>45198</v>
      </c>
      <c r="D223" s="2" t="s">
        <v>34</v>
      </c>
      <c r="E223" s="2" t="s">
        <v>47</v>
      </c>
      <c r="F223" s="2">
        <v>8</v>
      </c>
      <c r="G223" s="2">
        <v>88.2</v>
      </c>
      <c r="H223" s="2">
        <v>705.6</v>
      </c>
      <c r="I223" s="2" t="s">
        <v>31</v>
      </c>
      <c r="J223" s="2" t="str">
        <f t="shared" si="6"/>
        <v>Sep</v>
      </c>
      <c r="K223" s="4">
        <f>IF(AND(ISNUMBER(Lab2_Dataset[[#This Row],[Revenue]]), ISNUMBER(Lab2_Dataset[[#This Row],[Quantity]]), Lab2_Dataset[[#This Row],[Quantity]]&lt;&gt;0), Lab2_Dataset[[#This Row],[Revenue]]/Lab2_Dataset[[#This Row],[Quantity]], "")</f>
        <v>88.2</v>
      </c>
      <c r="O223" s="2" t="b">
        <v>0</v>
      </c>
      <c r="P223" s="2" t="str">
        <f t="shared" si="7"/>
        <v/>
      </c>
    </row>
    <row r="224" spans="1:16" x14ac:dyDescent="0.35">
      <c r="A224" s="2" t="s">
        <v>469</v>
      </c>
      <c r="B224" s="2" t="s">
        <v>470</v>
      </c>
      <c r="C224" s="3">
        <v>45386</v>
      </c>
      <c r="D224" s="2" t="s">
        <v>37</v>
      </c>
      <c r="E224" s="2" t="s">
        <v>28</v>
      </c>
      <c r="G224" s="2">
        <v>105.1</v>
      </c>
      <c r="I224" s="2" t="s">
        <v>52</v>
      </c>
      <c r="J224" s="2" t="str">
        <f t="shared" si="6"/>
        <v>Apr</v>
      </c>
      <c r="K2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24" s="2" t="b">
        <v>1</v>
      </c>
      <c r="P224" s="2" t="str">
        <f t="shared" si="7"/>
        <v/>
      </c>
    </row>
    <row r="225" spans="1:16" x14ac:dyDescent="0.35">
      <c r="A225" s="2" t="s">
        <v>471</v>
      </c>
      <c r="B225" s="2" t="s">
        <v>472</v>
      </c>
      <c r="C225" s="3">
        <v>45623</v>
      </c>
      <c r="D225" s="2" t="s">
        <v>27</v>
      </c>
      <c r="E225" s="2" t="s">
        <v>28</v>
      </c>
      <c r="G225" s="2">
        <v>138.28</v>
      </c>
      <c r="I225" s="2" t="s">
        <v>38</v>
      </c>
      <c r="J225" s="2" t="str">
        <f t="shared" si="6"/>
        <v>Nov</v>
      </c>
      <c r="K2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25" s="2" t="b">
        <v>1</v>
      </c>
      <c r="P225" s="2">
        <f t="shared" si="7"/>
        <v>65.069999999999993</v>
      </c>
    </row>
    <row r="226" spans="1:16" x14ac:dyDescent="0.35">
      <c r="A226" s="2" t="s">
        <v>473</v>
      </c>
      <c r="B226" s="2" t="s">
        <v>474</v>
      </c>
      <c r="C226" s="3">
        <v>45458</v>
      </c>
      <c r="D226" s="2" t="s">
        <v>27</v>
      </c>
      <c r="E226" s="2" t="s">
        <v>24</v>
      </c>
      <c r="F226" s="2">
        <v>1</v>
      </c>
      <c r="G226" s="2">
        <v>65.069999999999993</v>
      </c>
      <c r="H226" s="2">
        <v>65.069999999999993</v>
      </c>
      <c r="I226" s="2" t="s">
        <v>52</v>
      </c>
      <c r="J226" s="2" t="str">
        <f t="shared" si="6"/>
        <v>Jun</v>
      </c>
      <c r="K226" s="4">
        <f>IF(AND(ISNUMBER(Lab2_Dataset[[#This Row],[Revenue]]), ISNUMBER(Lab2_Dataset[[#This Row],[Quantity]]), Lab2_Dataset[[#This Row],[Quantity]]&lt;&gt;0), Lab2_Dataset[[#This Row],[Revenue]]/Lab2_Dataset[[#This Row],[Quantity]], "")</f>
        <v>65.069999999999993</v>
      </c>
      <c r="O226" s="2" t="b">
        <v>0</v>
      </c>
      <c r="P226" s="2">
        <f t="shared" si="7"/>
        <v>1277.68</v>
      </c>
    </row>
    <row r="227" spans="1:16" x14ac:dyDescent="0.35">
      <c r="A227" s="2" t="s">
        <v>475</v>
      </c>
      <c r="B227" s="2" t="s">
        <v>476</v>
      </c>
      <c r="C227" s="3">
        <v>45663</v>
      </c>
      <c r="D227" s="2" t="s">
        <v>69</v>
      </c>
      <c r="E227" s="2" t="s">
        <v>16</v>
      </c>
      <c r="F227" s="2">
        <v>8</v>
      </c>
      <c r="G227" s="2">
        <v>159.71</v>
      </c>
      <c r="H227" s="2">
        <v>1277.68</v>
      </c>
      <c r="I227" s="2" t="s">
        <v>13</v>
      </c>
      <c r="J227" s="2" t="str">
        <f t="shared" si="6"/>
        <v>Jan</v>
      </c>
      <c r="K227" s="4">
        <f>IF(AND(ISNUMBER(Lab2_Dataset[[#This Row],[Revenue]]), ISNUMBER(Lab2_Dataset[[#This Row],[Quantity]]), Lab2_Dataset[[#This Row],[Quantity]]&lt;&gt;0), Lab2_Dataset[[#This Row],[Revenue]]/Lab2_Dataset[[#This Row],[Quantity]], "")</f>
        <v>159.71</v>
      </c>
      <c r="O227" s="2" t="b">
        <v>0</v>
      </c>
      <c r="P227" s="2">
        <f t="shared" si="7"/>
        <v>322.39999999999998</v>
      </c>
    </row>
    <row r="228" spans="1:16" x14ac:dyDescent="0.35">
      <c r="A228" s="2" t="s">
        <v>477</v>
      </c>
      <c r="B228" s="2" t="s">
        <v>478</v>
      </c>
      <c r="C228" s="3">
        <v>45455</v>
      </c>
      <c r="D228" s="2" t="s">
        <v>34</v>
      </c>
      <c r="E228" s="2" t="s">
        <v>47</v>
      </c>
      <c r="F228" s="2">
        <v>4</v>
      </c>
      <c r="G228" s="2">
        <v>80.599999999999994</v>
      </c>
      <c r="H228" s="2">
        <v>322.39999999999998</v>
      </c>
      <c r="I228" s="2" t="s">
        <v>52</v>
      </c>
      <c r="J228" s="2" t="str">
        <f t="shared" si="6"/>
        <v>Jun</v>
      </c>
      <c r="K228" s="4">
        <f>IF(AND(ISNUMBER(Lab2_Dataset[[#This Row],[Revenue]]), ISNUMBER(Lab2_Dataset[[#This Row],[Quantity]]), Lab2_Dataset[[#This Row],[Quantity]]&lt;&gt;0), Lab2_Dataset[[#This Row],[Revenue]]/Lab2_Dataset[[#This Row],[Quantity]], "")</f>
        <v>80.599999999999994</v>
      </c>
      <c r="O228" s="2" t="b">
        <v>0</v>
      </c>
      <c r="P228" s="2" t="str">
        <f t="shared" si="7"/>
        <v/>
      </c>
    </row>
    <row r="229" spans="1:16" x14ac:dyDescent="0.35">
      <c r="A229" s="2" t="s">
        <v>479</v>
      </c>
      <c r="B229" s="2" t="s">
        <v>480</v>
      </c>
      <c r="C229" s="3">
        <v>45665</v>
      </c>
      <c r="D229" s="2" t="s">
        <v>11</v>
      </c>
      <c r="E229" s="2" t="s">
        <v>47</v>
      </c>
      <c r="G229" s="2">
        <v>42.4</v>
      </c>
      <c r="I229" s="2" t="s">
        <v>38</v>
      </c>
      <c r="J229" s="2" t="str">
        <f t="shared" si="6"/>
        <v>Jan</v>
      </c>
      <c r="K2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29" s="2" t="b">
        <v>1</v>
      </c>
      <c r="P229" s="2" t="str">
        <f t="shared" si="7"/>
        <v/>
      </c>
    </row>
    <row r="230" spans="1:16" x14ac:dyDescent="0.35">
      <c r="A230" s="2" t="s">
        <v>481</v>
      </c>
      <c r="B230" s="2" t="s">
        <v>482</v>
      </c>
      <c r="C230" s="3">
        <v>45699</v>
      </c>
      <c r="D230" s="2" t="s">
        <v>34</v>
      </c>
      <c r="E230" s="2" t="s">
        <v>12</v>
      </c>
      <c r="G230" s="2">
        <v>106.72</v>
      </c>
      <c r="I230" s="2" t="s">
        <v>52</v>
      </c>
      <c r="J230" s="2" t="str">
        <f t="shared" si="6"/>
        <v>Feb</v>
      </c>
      <c r="K23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0" s="2" t="b">
        <v>1</v>
      </c>
      <c r="P230" s="2">
        <f t="shared" si="7"/>
        <v>74.319999999999993</v>
      </c>
    </row>
    <row r="231" spans="1:16" x14ac:dyDescent="0.35">
      <c r="A231" s="2" t="s">
        <v>483</v>
      </c>
      <c r="B231" s="2" t="s">
        <v>484</v>
      </c>
      <c r="C231" s="3">
        <v>45255</v>
      </c>
      <c r="D231" s="2" t="s">
        <v>69</v>
      </c>
      <c r="E231" s="2" t="s">
        <v>16</v>
      </c>
      <c r="F231" s="2">
        <v>4</v>
      </c>
      <c r="G231" s="2">
        <v>18.579999999999998</v>
      </c>
      <c r="H231" s="2">
        <v>74.319999999999993</v>
      </c>
      <c r="I231" s="2" t="s">
        <v>52</v>
      </c>
      <c r="J231" s="2" t="str">
        <f t="shared" si="6"/>
        <v>Nov</v>
      </c>
      <c r="K231" s="4">
        <f>IF(AND(ISNUMBER(Lab2_Dataset[[#This Row],[Revenue]]), ISNUMBER(Lab2_Dataset[[#This Row],[Quantity]]), Lab2_Dataset[[#This Row],[Quantity]]&lt;&gt;0), Lab2_Dataset[[#This Row],[Revenue]]/Lab2_Dataset[[#This Row],[Quantity]], "")</f>
        <v>18.579999999999998</v>
      </c>
      <c r="O231" s="2" t="b">
        <v>0</v>
      </c>
      <c r="P231" s="2" t="str">
        <f t="shared" si="7"/>
        <v/>
      </c>
    </row>
    <row r="232" spans="1:16" x14ac:dyDescent="0.35">
      <c r="A232" s="2" t="s">
        <v>485</v>
      </c>
      <c r="B232" s="2" t="s">
        <v>486</v>
      </c>
      <c r="C232" s="3">
        <v>45109</v>
      </c>
      <c r="D232" s="2" t="s">
        <v>11</v>
      </c>
      <c r="E232" s="2" t="s">
        <v>16</v>
      </c>
      <c r="G232" s="2">
        <v>167.17</v>
      </c>
      <c r="I232" s="2" t="s">
        <v>17</v>
      </c>
      <c r="J232" s="2" t="str">
        <f t="shared" si="6"/>
        <v>Jul</v>
      </c>
      <c r="K2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2" s="2" t="b">
        <v>1</v>
      </c>
      <c r="P232" s="2" t="str">
        <f t="shared" si="7"/>
        <v/>
      </c>
    </row>
    <row r="233" spans="1:16" x14ac:dyDescent="0.35">
      <c r="A233" s="2" t="s">
        <v>487</v>
      </c>
      <c r="B233" s="2" t="s">
        <v>488</v>
      </c>
      <c r="C233" s="3">
        <v>45369</v>
      </c>
      <c r="D233" s="2" t="s">
        <v>69</v>
      </c>
      <c r="E233" s="2" t="s">
        <v>24</v>
      </c>
      <c r="G233" s="2">
        <v>100.43</v>
      </c>
      <c r="I233" s="2" t="s">
        <v>21</v>
      </c>
      <c r="J233" s="2" t="str">
        <f t="shared" si="6"/>
        <v>Mar</v>
      </c>
      <c r="K2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3" s="2" t="b">
        <v>1</v>
      </c>
      <c r="P233" s="2">
        <f t="shared" si="7"/>
        <v>558.28</v>
      </c>
    </row>
    <row r="234" spans="1:16" x14ac:dyDescent="0.35">
      <c r="A234" s="2" t="s">
        <v>489</v>
      </c>
      <c r="B234" s="2" t="s">
        <v>490</v>
      </c>
      <c r="C234" s="3">
        <v>45120</v>
      </c>
      <c r="D234" s="2" t="s">
        <v>27</v>
      </c>
      <c r="E234" s="2" t="s">
        <v>28</v>
      </c>
      <c r="F234" s="2">
        <v>4</v>
      </c>
      <c r="G234" s="2">
        <v>139.57</v>
      </c>
      <c r="H234" s="2">
        <v>558.28</v>
      </c>
      <c r="I234" s="2" t="s">
        <v>21</v>
      </c>
      <c r="J234" s="2" t="str">
        <f t="shared" si="6"/>
        <v>Jul</v>
      </c>
      <c r="K234" s="4">
        <f>IF(AND(ISNUMBER(Lab2_Dataset[[#This Row],[Revenue]]), ISNUMBER(Lab2_Dataset[[#This Row],[Quantity]]), Lab2_Dataset[[#This Row],[Quantity]]&lt;&gt;0), Lab2_Dataset[[#This Row],[Revenue]]/Lab2_Dataset[[#This Row],[Quantity]], "")</f>
        <v>139.57</v>
      </c>
      <c r="O234" s="2" t="b">
        <v>0</v>
      </c>
      <c r="P234" s="2" t="str">
        <f t="shared" si="7"/>
        <v/>
      </c>
    </row>
    <row r="235" spans="1:16" x14ac:dyDescent="0.35">
      <c r="A235" s="2" t="s">
        <v>491</v>
      </c>
      <c r="B235" s="2" t="s">
        <v>492</v>
      </c>
      <c r="C235" s="3">
        <v>45358</v>
      </c>
      <c r="D235" s="2" t="s">
        <v>11</v>
      </c>
      <c r="E235" s="2" t="s">
        <v>47</v>
      </c>
      <c r="G235" s="2">
        <v>187.71</v>
      </c>
      <c r="I235" s="2" t="s">
        <v>13</v>
      </c>
      <c r="J235" s="2" t="str">
        <f t="shared" si="6"/>
        <v>Mar</v>
      </c>
      <c r="K2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5" s="2" t="b">
        <v>1</v>
      </c>
      <c r="P235" s="2" t="str">
        <f t="shared" si="7"/>
        <v/>
      </c>
    </row>
    <row r="236" spans="1:16" x14ac:dyDescent="0.35">
      <c r="A236" s="2" t="s">
        <v>493</v>
      </c>
      <c r="B236" s="2" t="s">
        <v>494</v>
      </c>
      <c r="C236" s="3">
        <v>45054</v>
      </c>
      <c r="D236" s="2" t="s">
        <v>20</v>
      </c>
      <c r="E236" s="2" t="s">
        <v>16</v>
      </c>
      <c r="G236" s="2">
        <v>87.17</v>
      </c>
      <c r="I236" s="2" t="s">
        <v>31</v>
      </c>
      <c r="J236" s="2" t="str">
        <f t="shared" si="6"/>
        <v>May</v>
      </c>
      <c r="K2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6" s="2" t="b">
        <v>1</v>
      </c>
      <c r="P236" s="2">
        <f t="shared" si="7"/>
        <v>247.86</v>
      </c>
    </row>
    <row r="237" spans="1:16" x14ac:dyDescent="0.35">
      <c r="A237" s="2" t="s">
        <v>495</v>
      </c>
      <c r="B237" s="2" t="s">
        <v>496</v>
      </c>
      <c r="C237" s="3">
        <v>45323</v>
      </c>
      <c r="D237" s="2" t="s">
        <v>37</v>
      </c>
      <c r="E237" s="2" t="s">
        <v>16</v>
      </c>
      <c r="F237" s="2">
        <v>3</v>
      </c>
      <c r="G237" s="2">
        <v>82.62</v>
      </c>
      <c r="H237" s="2">
        <v>247.86</v>
      </c>
      <c r="I237" s="2" t="s">
        <v>21</v>
      </c>
      <c r="J237" s="2" t="str">
        <f t="shared" si="6"/>
        <v>Feb</v>
      </c>
      <c r="K237" s="4">
        <f>IF(AND(ISNUMBER(Lab2_Dataset[[#This Row],[Revenue]]), ISNUMBER(Lab2_Dataset[[#This Row],[Quantity]]), Lab2_Dataset[[#This Row],[Quantity]]&lt;&gt;0), Lab2_Dataset[[#This Row],[Revenue]]/Lab2_Dataset[[#This Row],[Quantity]], "")</f>
        <v>82.62</v>
      </c>
      <c r="O237" s="2" t="b">
        <v>0</v>
      </c>
      <c r="P237" s="2" t="str">
        <f t="shared" si="7"/>
        <v/>
      </c>
    </row>
    <row r="238" spans="1:16" x14ac:dyDescent="0.35">
      <c r="A238" s="2" t="s">
        <v>497</v>
      </c>
      <c r="B238" s="2" t="s">
        <v>498</v>
      </c>
      <c r="C238" s="3">
        <v>45233</v>
      </c>
      <c r="D238" s="2" t="s">
        <v>27</v>
      </c>
      <c r="E238" s="2" t="s">
        <v>12</v>
      </c>
      <c r="G238" s="2">
        <v>164.44</v>
      </c>
      <c r="I238" s="2" t="s">
        <v>38</v>
      </c>
      <c r="J238" s="2" t="str">
        <f t="shared" si="6"/>
        <v>Nov</v>
      </c>
      <c r="K23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8" s="2" t="b">
        <v>1</v>
      </c>
      <c r="P238" s="2" t="str">
        <f t="shared" si="7"/>
        <v/>
      </c>
    </row>
    <row r="239" spans="1:16" x14ac:dyDescent="0.35">
      <c r="A239" s="2" t="s">
        <v>499</v>
      </c>
      <c r="B239" s="2" t="s">
        <v>500</v>
      </c>
      <c r="C239" s="3">
        <v>45497</v>
      </c>
      <c r="D239" s="2" t="s">
        <v>69</v>
      </c>
      <c r="E239" s="2" t="s">
        <v>12</v>
      </c>
      <c r="G239" s="2">
        <v>11.74</v>
      </c>
      <c r="I239" s="2" t="s">
        <v>21</v>
      </c>
      <c r="J239" s="2" t="str">
        <f t="shared" si="6"/>
        <v>Jul</v>
      </c>
      <c r="K2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39" s="2" t="b">
        <v>1</v>
      </c>
      <c r="P239" s="2">
        <f t="shared" si="7"/>
        <v>351.68</v>
      </c>
    </row>
    <row r="240" spans="1:16" x14ac:dyDescent="0.35">
      <c r="A240" s="2" t="s">
        <v>501</v>
      </c>
      <c r="B240" s="2" t="s">
        <v>502</v>
      </c>
      <c r="C240" s="3">
        <v>45642</v>
      </c>
      <c r="D240" s="2" t="s">
        <v>34</v>
      </c>
      <c r="E240" s="2" t="s">
        <v>24</v>
      </c>
      <c r="F240" s="2">
        <v>2</v>
      </c>
      <c r="G240" s="2">
        <v>175.84</v>
      </c>
      <c r="H240" s="2">
        <v>351.68</v>
      </c>
      <c r="I240" s="2" t="s">
        <v>38</v>
      </c>
      <c r="J240" s="2" t="str">
        <f t="shared" si="6"/>
        <v>Dec</v>
      </c>
      <c r="K240" s="4">
        <f>IF(AND(ISNUMBER(Lab2_Dataset[[#This Row],[Revenue]]), ISNUMBER(Lab2_Dataset[[#This Row],[Quantity]]), Lab2_Dataset[[#This Row],[Quantity]]&lt;&gt;0), Lab2_Dataset[[#This Row],[Revenue]]/Lab2_Dataset[[#This Row],[Quantity]], "")</f>
        <v>175.84</v>
      </c>
      <c r="O240" s="2" t="b">
        <v>0</v>
      </c>
      <c r="P240" s="2">
        <f t="shared" si="7"/>
        <v>99.92</v>
      </c>
    </row>
    <row r="241" spans="1:16" x14ac:dyDescent="0.35">
      <c r="A241" s="2" t="s">
        <v>503</v>
      </c>
      <c r="B241" s="2" t="s">
        <v>504</v>
      </c>
      <c r="C241" s="3">
        <v>45270</v>
      </c>
      <c r="D241" s="2" t="s">
        <v>34</v>
      </c>
      <c r="E241" s="2" t="s">
        <v>24</v>
      </c>
      <c r="F241" s="2">
        <v>2</v>
      </c>
      <c r="G241" s="2">
        <v>49.96</v>
      </c>
      <c r="H241" s="2">
        <v>99.92</v>
      </c>
      <c r="I241" s="2" t="s">
        <v>52</v>
      </c>
      <c r="J241" s="2" t="str">
        <f t="shared" si="6"/>
        <v>Dec</v>
      </c>
      <c r="K241" s="4">
        <f>IF(AND(ISNUMBER(Lab2_Dataset[[#This Row],[Revenue]]), ISNUMBER(Lab2_Dataset[[#This Row],[Quantity]]), Lab2_Dataset[[#This Row],[Quantity]]&lt;&gt;0), Lab2_Dataset[[#This Row],[Revenue]]/Lab2_Dataset[[#This Row],[Quantity]], "")</f>
        <v>49.96</v>
      </c>
      <c r="O241" s="2" t="b">
        <v>0</v>
      </c>
      <c r="P241" s="2" t="str">
        <f t="shared" si="7"/>
        <v/>
      </c>
    </row>
    <row r="242" spans="1:16" x14ac:dyDescent="0.35">
      <c r="A242" s="2" t="s">
        <v>505</v>
      </c>
      <c r="B242" s="2" t="s">
        <v>506</v>
      </c>
      <c r="C242" s="3">
        <v>45381</v>
      </c>
      <c r="D242" s="2" t="s">
        <v>69</v>
      </c>
      <c r="E242" s="2" t="s">
        <v>47</v>
      </c>
      <c r="G242" s="2">
        <v>145.59</v>
      </c>
      <c r="I242" s="2" t="s">
        <v>17</v>
      </c>
      <c r="J242" s="2" t="str">
        <f t="shared" si="6"/>
        <v>Mar</v>
      </c>
      <c r="K2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42" s="2" t="b">
        <v>1</v>
      </c>
      <c r="P242" s="2" t="str">
        <f t="shared" si="7"/>
        <v/>
      </c>
    </row>
    <row r="243" spans="1:16" x14ac:dyDescent="0.35">
      <c r="A243" s="2" t="s">
        <v>507</v>
      </c>
      <c r="B243" s="2" t="s">
        <v>508</v>
      </c>
      <c r="C243" s="3">
        <v>45673</v>
      </c>
      <c r="D243" s="2" t="s">
        <v>37</v>
      </c>
      <c r="E243" s="2" t="s">
        <v>16</v>
      </c>
      <c r="G243" s="2">
        <v>164.47</v>
      </c>
      <c r="I243" s="2" t="s">
        <v>38</v>
      </c>
      <c r="J243" s="2" t="str">
        <f t="shared" si="6"/>
        <v>Jan</v>
      </c>
      <c r="K2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43" s="2" t="b">
        <v>1</v>
      </c>
      <c r="P243" s="2" t="str">
        <f t="shared" si="7"/>
        <v/>
      </c>
    </row>
    <row r="244" spans="1:16" x14ac:dyDescent="0.35">
      <c r="A244" s="2" t="s">
        <v>509</v>
      </c>
      <c r="B244" s="2" t="s">
        <v>510</v>
      </c>
      <c r="C244" s="3">
        <v>45619</v>
      </c>
      <c r="D244" s="2" t="s">
        <v>34</v>
      </c>
      <c r="E244" s="2" t="s">
        <v>47</v>
      </c>
      <c r="G244" s="2">
        <v>135.11000000000001</v>
      </c>
      <c r="I244" s="2" t="s">
        <v>17</v>
      </c>
      <c r="J244" s="2" t="str">
        <f t="shared" si="6"/>
        <v>Nov</v>
      </c>
      <c r="K2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44" s="2" t="b">
        <v>1</v>
      </c>
      <c r="P244" s="2">
        <f t="shared" si="7"/>
        <v>676.04</v>
      </c>
    </row>
    <row r="245" spans="1:16" x14ac:dyDescent="0.35">
      <c r="A245" s="2" t="s">
        <v>511</v>
      </c>
      <c r="B245" s="2" t="s">
        <v>512</v>
      </c>
      <c r="C245" s="3">
        <v>45266</v>
      </c>
      <c r="D245" s="2" t="s">
        <v>27</v>
      </c>
      <c r="E245" s="2" t="s">
        <v>24</v>
      </c>
      <c r="F245" s="2">
        <v>4</v>
      </c>
      <c r="G245" s="2">
        <v>169.01</v>
      </c>
      <c r="H245" s="2">
        <v>676.04</v>
      </c>
      <c r="I245" s="2" t="s">
        <v>17</v>
      </c>
      <c r="J245" s="2" t="str">
        <f t="shared" si="6"/>
        <v>Dec</v>
      </c>
      <c r="K245" s="4">
        <f>IF(AND(ISNUMBER(Lab2_Dataset[[#This Row],[Revenue]]), ISNUMBER(Lab2_Dataset[[#This Row],[Quantity]]), Lab2_Dataset[[#This Row],[Quantity]]&lt;&gt;0), Lab2_Dataset[[#This Row],[Revenue]]/Lab2_Dataset[[#This Row],[Quantity]], "")</f>
        <v>169.01</v>
      </c>
      <c r="O245" s="2" t="b">
        <v>0</v>
      </c>
      <c r="P245" s="2">
        <f t="shared" si="7"/>
        <v>53.77</v>
      </c>
    </row>
    <row r="246" spans="1:16" x14ac:dyDescent="0.35">
      <c r="A246" s="2" t="s">
        <v>513</v>
      </c>
      <c r="B246" s="2" t="s">
        <v>514</v>
      </c>
      <c r="C246" s="3">
        <v>45737</v>
      </c>
      <c r="D246" s="2" t="s">
        <v>34</v>
      </c>
      <c r="E246" s="2" t="s">
        <v>24</v>
      </c>
      <c r="F246" s="2">
        <v>1</v>
      </c>
      <c r="G246" s="2">
        <v>53.77</v>
      </c>
      <c r="H246" s="2">
        <v>53.77</v>
      </c>
      <c r="I246" s="2" t="s">
        <v>13</v>
      </c>
      <c r="J246" s="2" t="str">
        <f t="shared" si="6"/>
        <v>Mar</v>
      </c>
      <c r="K246" s="4">
        <f>IF(AND(ISNUMBER(Lab2_Dataset[[#This Row],[Revenue]]), ISNUMBER(Lab2_Dataset[[#This Row],[Quantity]]), Lab2_Dataset[[#This Row],[Quantity]]&lt;&gt;0), Lab2_Dataset[[#This Row],[Revenue]]/Lab2_Dataset[[#This Row],[Quantity]], "")</f>
        <v>53.77</v>
      </c>
      <c r="O246" s="2" t="b">
        <v>0</v>
      </c>
      <c r="P246" s="2">
        <f t="shared" si="7"/>
        <v>771.2</v>
      </c>
    </row>
    <row r="247" spans="1:16" x14ac:dyDescent="0.35">
      <c r="A247" s="2" t="s">
        <v>515</v>
      </c>
      <c r="B247" s="2" t="s">
        <v>516</v>
      </c>
      <c r="C247" s="3">
        <v>45051</v>
      </c>
      <c r="D247" s="2" t="s">
        <v>27</v>
      </c>
      <c r="E247" s="2" t="s">
        <v>24</v>
      </c>
      <c r="F247" s="2">
        <v>4</v>
      </c>
      <c r="G247" s="2">
        <v>192.8</v>
      </c>
      <c r="H247" s="2">
        <v>771.2</v>
      </c>
      <c r="I247" s="2" t="s">
        <v>38</v>
      </c>
      <c r="J247" s="2" t="str">
        <f t="shared" si="6"/>
        <v>May</v>
      </c>
      <c r="K247" s="4">
        <f>IF(AND(ISNUMBER(Lab2_Dataset[[#This Row],[Revenue]]), ISNUMBER(Lab2_Dataset[[#This Row],[Quantity]]), Lab2_Dataset[[#This Row],[Quantity]]&lt;&gt;0), Lab2_Dataset[[#This Row],[Revenue]]/Lab2_Dataset[[#This Row],[Quantity]], "")</f>
        <v>192.8</v>
      </c>
      <c r="O247" s="2" t="b">
        <v>0</v>
      </c>
      <c r="P247" s="2" t="str">
        <f t="shared" si="7"/>
        <v/>
      </c>
    </row>
    <row r="248" spans="1:16" x14ac:dyDescent="0.35">
      <c r="A248" s="2" t="s">
        <v>517</v>
      </c>
      <c r="B248" s="2" t="s">
        <v>518</v>
      </c>
      <c r="C248" s="3">
        <v>45409</v>
      </c>
      <c r="D248" s="2" t="s">
        <v>37</v>
      </c>
      <c r="E248" s="2" t="s">
        <v>12</v>
      </c>
      <c r="G248" s="2">
        <v>80.72</v>
      </c>
      <c r="I248" s="2" t="s">
        <v>13</v>
      </c>
      <c r="J248" s="2" t="str">
        <f t="shared" si="6"/>
        <v>Apr</v>
      </c>
      <c r="K2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48" s="2" t="b">
        <v>1</v>
      </c>
      <c r="P248" s="2" t="str">
        <f t="shared" si="7"/>
        <v/>
      </c>
    </row>
    <row r="249" spans="1:16" x14ac:dyDescent="0.35">
      <c r="A249" s="2" t="s">
        <v>519</v>
      </c>
      <c r="B249" s="2" t="s">
        <v>520</v>
      </c>
      <c r="C249" s="3">
        <v>45368</v>
      </c>
      <c r="D249" s="2" t="s">
        <v>34</v>
      </c>
      <c r="E249" s="2" t="s">
        <v>47</v>
      </c>
      <c r="G249" s="2">
        <v>46.25</v>
      </c>
      <c r="I249" s="2" t="s">
        <v>52</v>
      </c>
      <c r="J249" s="2" t="str">
        <f t="shared" si="6"/>
        <v>Mar</v>
      </c>
      <c r="K24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49" s="2" t="b">
        <v>1</v>
      </c>
      <c r="P249" s="2">
        <f t="shared" si="7"/>
        <v>144.76</v>
      </c>
    </row>
    <row r="250" spans="1:16" x14ac:dyDescent="0.35">
      <c r="A250" s="2" t="s">
        <v>521</v>
      </c>
      <c r="B250" s="2" t="s">
        <v>522</v>
      </c>
      <c r="C250" s="3">
        <v>45356</v>
      </c>
      <c r="D250" s="2" t="s">
        <v>11</v>
      </c>
      <c r="E250" s="2" t="s">
        <v>24</v>
      </c>
      <c r="F250" s="2">
        <v>4</v>
      </c>
      <c r="G250" s="2">
        <v>36.19</v>
      </c>
      <c r="H250" s="2">
        <v>144.76</v>
      </c>
      <c r="I250" s="2" t="s">
        <v>52</v>
      </c>
      <c r="J250" s="2" t="str">
        <f t="shared" si="6"/>
        <v>Mar</v>
      </c>
      <c r="K250" s="4">
        <f>IF(AND(ISNUMBER(Lab2_Dataset[[#This Row],[Revenue]]), ISNUMBER(Lab2_Dataset[[#This Row],[Quantity]]), Lab2_Dataset[[#This Row],[Quantity]]&lt;&gt;0), Lab2_Dataset[[#This Row],[Revenue]]/Lab2_Dataset[[#This Row],[Quantity]], "")</f>
        <v>36.19</v>
      </c>
      <c r="O250" s="2" t="b">
        <v>0</v>
      </c>
      <c r="P250" s="2">
        <f t="shared" si="7"/>
        <v>1421.68</v>
      </c>
    </row>
    <row r="251" spans="1:16" x14ac:dyDescent="0.35">
      <c r="A251" s="2" t="s">
        <v>523</v>
      </c>
      <c r="B251" s="2" t="s">
        <v>524</v>
      </c>
      <c r="C251" s="3">
        <v>45599</v>
      </c>
      <c r="D251" s="2" t="s">
        <v>11</v>
      </c>
      <c r="E251" s="2" t="s">
        <v>24</v>
      </c>
      <c r="F251" s="2">
        <v>8</v>
      </c>
      <c r="G251" s="2">
        <v>177.71</v>
      </c>
      <c r="H251" s="2">
        <v>1421.68</v>
      </c>
      <c r="I251" s="2" t="s">
        <v>21</v>
      </c>
      <c r="J251" s="2" t="str">
        <f t="shared" si="6"/>
        <v>Nov</v>
      </c>
      <c r="K251" s="4">
        <f>IF(AND(ISNUMBER(Lab2_Dataset[[#This Row],[Revenue]]), ISNUMBER(Lab2_Dataset[[#This Row],[Quantity]]), Lab2_Dataset[[#This Row],[Quantity]]&lt;&gt;0), Lab2_Dataset[[#This Row],[Revenue]]/Lab2_Dataset[[#This Row],[Quantity]], "")</f>
        <v>177.71</v>
      </c>
      <c r="O251" s="2" t="b">
        <v>0</v>
      </c>
      <c r="P251" s="2">
        <f t="shared" si="7"/>
        <v>189.84</v>
      </c>
    </row>
    <row r="252" spans="1:16" x14ac:dyDescent="0.35">
      <c r="A252" s="2" t="s">
        <v>525</v>
      </c>
      <c r="B252" s="2" t="s">
        <v>526</v>
      </c>
      <c r="C252" s="3">
        <v>45573</v>
      </c>
      <c r="D252" s="2" t="s">
        <v>37</v>
      </c>
      <c r="E252" s="2" t="s">
        <v>12</v>
      </c>
      <c r="F252" s="2">
        <v>8</v>
      </c>
      <c r="G252" s="2">
        <v>23.73</v>
      </c>
      <c r="H252" s="2">
        <v>189.84</v>
      </c>
      <c r="I252" s="2" t="s">
        <v>13</v>
      </c>
      <c r="J252" s="2" t="str">
        <f t="shared" si="6"/>
        <v>Oct</v>
      </c>
      <c r="K252" s="4">
        <f>IF(AND(ISNUMBER(Lab2_Dataset[[#This Row],[Revenue]]), ISNUMBER(Lab2_Dataset[[#This Row],[Quantity]]), Lab2_Dataset[[#This Row],[Quantity]]&lt;&gt;0), Lab2_Dataset[[#This Row],[Revenue]]/Lab2_Dataset[[#This Row],[Quantity]], "")</f>
        <v>23.73</v>
      </c>
      <c r="O252" s="2" t="b">
        <v>0</v>
      </c>
      <c r="P252" s="2">
        <f t="shared" si="7"/>
        <v>1359.82</v>
      </c>
    </row>
    <row r="253" spans="1:16" x14ac:dyDescent="0.35">
      <c r="A253" s="2" t="s">
        <v>527</v>
      </c>
      <c r="B253" s="2" t="s">
        <v>528</v>
      </c>
      <c r="C253" s="3">
        <v>45665</v>
      </c>
      <c r="D253" s="2" t="s">
        <v>37</v>
      </c>
      <c r="E253" s="2" t="s">
        <v>16</v>
      </c>
      <c r="F253" s="2">
        <v>7</v>
      </c>
      <c r="G253" s="2">
        <v>194.26</v>
      </c>
      <c r="H253" s="2">
        <v>1359.82</v>
      </c>
      <c r="I253" s="2" t="s">
        <v>17</v>
      </c>
      <c r="J253" s="2" t="str">
        <f t="shared" si="6"/>
        <v>Jan</v>
      </c>
      <c r="K253" s="4">
        <f>IF(AND(ISNUMBER(Lab2_Dataset[[#This Row],[Revenue]]), ISNUMBER(Lab2_Dataset[[#This Row],[Quantity]]), Lab2_Dataset[[#This Row],[Quantity]]&lt;&gt;0), Lab2_Dataset[[#This Row],[Revenue]]/Lab2_Dataset[[#This Row],[Quantity]], "")</f>
        <v>194.26</v>
      </c>
      <c r="O253" s="2" t="b">
        <v>0</v>
      </c>
      <c r="P253" s="2">
        <f t="shared" si="7"/>
        <v>323.34000000000003</v>
      </c>
    </row>
    <row r="254" spans="1:16" x14ac:dyDescent="0.35">
      <c r="A254" s="2" t="s">
        <v>529</v>
      </c>
      <c r="B254" s="2" t="s">
        <v>530</v>
      </c>
      <c r="C254" s="3">
        <v>45620</v>
      </c>
      <c r="D254" s="2" t="s">
        <v>20</v>
      </c>
      <c r="E254" s="2" t="s">
        <v>28</v>
      </c>
      <c r="F254" s="2">
        <v>3</v>
      </c>
      <c r="G254" s="2">
        <v>107.78</v>
      </c>
      <c r="H254" s="2">
        <v>323.33999999999997</v>
      </c>
      <c r="I254" s="2" t="s">
        <v>13</v>
      </c>
      <c r="J254" s="2" t="str">
        <f t="shared" si="6"/>
        <v>Nov</v>
      </c>
      <c r="K254" s="4">
        <f>IF(AND(ISNUMBER(Lab2_Dataset[[#This Row],[Revenue]]), ISNUMBER(Lab2_Dataset[[#This Row],[Quantity]]), Lab2_Dataset[[#This Row],[Quantity]]&lt;&gt;0), Lab2_Dataset[[#This Row],[Revenue]]/Lab2_Dataset[[#This Row],[Quantity]], "")</f>
        <v>107.77999999999999</v>
      </c>
      <c r="O254" s="2" t="b">
        <v>0</v>
      </c>
      <c r="P254" s="2" t="str">
        <f t="shared" si="7"/>
        <v/>
      </c>
    </row>
    <row r="255" spans="1:16" x14ac:dyDescent="0.35">
      <c r="A255" s="2" t="s">
        <v>531</v>
      </c>
      <c r="B255" s="2" t="s">
        <v>532</v>
      </c>
      <c r="C255" s="3">
        <v>45561</v>
      </c>
      <c r="D255" s="2" t="s">
        <v>27</v>
      </c>
      <c r="E255" s="2" t="s">
        <v>28</v>
      </c>
      <c r="G255" s="2">
        <v>150.78</v>
      </c>
      <c r="I255" s="2" t="s">
        <v>52</v>
      </c>
      <c r="J255" s="2" t="str">
        <f t="shared" si="6"/>
        <v>Sep</v>
      </c>
      <c r="K2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55" s="2" t="b">
        <v>1</v>
      </c>
      <c r="P255" s="2" t="str">
        <f t="shared" si="7"/>
        <v/>
      </c>
    </row>
    <row r="256" spans="1:16" x14ac:dyDescent="0.35">
      <c r="A256" s="2" t="s">
        <v>533</v>
      </c>
      <c r="B256" s="2" t="s">
        <v>99</v>
      </c>
      <c r="C256" s="3">
        <v>45145</v>
      </c>
      <c r="D256" s="2" t="s">
        <v>11</v>
      </c>
      <c r="E256" s="2" t="s">
        <v>16</v>
      </c>
      <c r="G256" s="2">
        <v>134.06</v>
      </c>
      <c r="I256" s="2" t="s">
        <v>21</v>
      </c>
      <c r="J256" s="2" t="str">
        <f t="shared" si="6"/>
        <v>Aug</v>
      </c>
      <c r="K25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56" s="2" t="b">
        <v>1</v>
      </c>
      <c r="P256" s="2">
        <f t="shared" si="7"/>
        <v>579.29999999999995</v>
      </c>
    </row>
    <row r="257" spans="1:16" x14ac:dyDescent="0.35">
      <c r="A257" s="2" t="s">
        <v>534</v>
      </c>
      <c r="B257" s="2" t="s">
        <v>535</v>
      </c>
      <c r="C257" s="3">
        <v>45244</v>
      </c>
      <c r="D257" s="2" t="s">
        <v>34</v>
      </c>
      <c r="E257" s="2" t="s">
        <v>24</v>
      </c>
      <c r="F257" s="2">
        <v>3</v>
      </c>
      <c r="G257" s="2">
        <v>193.1</v>
      </c>
      <c r="H257" s="2">
        <v>579.29999999999995</v>
      </c>
      <c r="I257" s="2" t="s">
        <v>52</v>
      </c>
      <c r="J257" s="2" t="str">
        <f t="shared" si="6"/>
        <v>Nov</v>
      </c>
      <c r="K257" s="4">
        <f>IF(AND(ISNUMBER(Lab2_Dataset[[#This Row],[Revenue]]), ISNUMBER(Lab2_Dataset[[#This Row],[Quantity]]), Lab2_Dataset[[#This Row],[Quantity]]&lt;&gt;0), Lab2_Dataset[[#This Row],[Revenue]]/Lab2_Dataset[[#This Row],[Quantity]], "")</f>
        <v>193.1</v>
      </c>
      <c r="O257" s="2" t="b">
        <v>0</v>
      </c>
      <c r="P257" s="2" t="str">
        <f t="shared" si="7"/>
        <v/>
      </c>
    </row>
    <row r="258" spans="1:16" x14ac:dyDescent="0.35">
      <c r="A258" s="2" t="s">
        <v>536</v>
      </c>
      <c r="B258" s="2" t="s">
        <v>537</v>
      </c>
      <c r="C258" s="3">
        <v>45452</v>
      </c>
      <c r="D258" s="2" t="s">
        <v>11</v>
      </c>
      <c r="E258" s="2" t="s">
        <v>12</v>
      </c>
      <c r="G258" s="2">
        <v>28.45</v>
      </c>
      <c r="I258" s="2" t="s">
        <v>52</v>
      </c>
      <c r="J258" s="2" t="str">
        <f t="shared" ref="J258:J321" si="8">TEXT(C258,"mmm")</f>
        <v>Jun</v>
      </c>
      <c r="K25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58" s="2" t="b">
        <v>1</v>
      </c>
      <c r="P258" s="2" t="str">
        <f t="shared" si="7"/>
        <v/>
      </c>
    </row>
    <row r="259" spans="1:16" x14ac:dyDescent="0.35">
      <c r="A259" s="2" t="s">
        <v>538</v>
      </c>
      <c r="B259" s="2" t="s">
        <v>539</v>
      </c>
      <c r="C259" s="3">
        <v>45105</v>
      </c>
      <c r="D259" s="2" t="s">
        <v>37</v>
      </c>
      <c r="E259" s="2" t="s">
        <v>24</v>
      </c>
      <c r="G259" s="2">
        <v>53.11</v>
      </c>
      <c r="I259" s="2" t="s">
        <v>52</v>
      </c>
      <c r="J259" s="2" t="str">
        <f t="shared" si="8"/>
        <v>Jun</v>
      </c>
      <c r="K2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59" s="2" t="b">
        <v>1</v>
      </c>
      <c r="P259" s="2">
        <f t="shared" ref="P259:P322" si="9">IF(O260=TRUE,"",F260*G260)</f>
        <v>1051.1999999999998</v>
      </c>
    </row>
    <row r="260" spans="1:16" x14ac:dyDescent="0.35">
      <c r="A260" s="2" t="s">
        <v>540</v>
      </c>
      <c r="B260" s="2" t="s">
        <v>541</v>
      </c>
      <c r="C260" s="3">
        <v>45139</v>
      </c>
      <c r="D260" s="2" t="s">
        <v>20</v>
      </c>
      <c r="E260" s="2" t="s">
        <v>24</v>
      </c>
      <c r="F260" s="2">
        <v>6</v>
      </c>
      <c r="G260" s="2">
        <v>175.2</v>
      </c>
      <c r="H260" s="2">
        <v>1051.2</v>
      </c>
      <c r="I260" s="2" t="s">
        <v>17</v>
      </c>
      <c r="J260" s="2" t="str">
        <f t="shared" si="8"/>
        <v>Aug</v>
      </c>
      <c r="K260" s="4">
        <f>IF(AND(ISNUMBER(Lab2_Dataset[[#This Row],[Revenue]]), ISNUMBER(Lab2_Dataset[[#This Row],[Quantity]]), Lab2_Dataset[[#This Row],[Quantity]]&lt;&gt;0), Lab2_Dataset[[#This Row],[Revenue]]/Lab2_Dataset[[#This Row],[Quantity]], "")</f>
        <v>175.20000000000002</v>
      </c>
      <c r="O260" s="2" t="b">
        <v>0</v>
      </c>
      <c r="P260" s="2">
        <f t="shared" si="9"/>
        <v>249.89999999999998</v>
      </c>
    </row>
    <row r="261" spans="1:16" x14ac:dyDescent="0.35">
      <c r="A261" s="2" t="s">
        <v>542</v>
      </c>
      <c r="B261" s="2" t="s">
        <v>543</v>
      </c>
      <c r="C261" s="3">
        <v>45718</v>
      </c>
      <c r="D261" s="2" t="s">
        <v>37</v>
      </c>
      <c r="E261" s="2" t="s">
        <v>28</v>
      </c>
      <c r="F261" s="2">
        <v>6</v>
      </c>
      <c r="G261" s="2">
        <v>41.65</v>
      </c>
      <c r="H261" s="2">
        <v>249.9</v>
      </c>
      <c r="I261" s="2" t="s">
        <v>21</v>
      </c>
      <c r="J261" s="2" t="str">
        <f t="shared" si="8"/>
        <v>Mar</v>
      </c>
      <c r="K261" s="4">
        <f>IF(AND(ISNUMBER(Lab2_Dataset[[#This Row],[Revenue]]), ISNUMBER(Lab2_Dataset[[#This Row],[Quantity]]), Lab2_Dataset[[#This Row],[Quantity]]&lt;&gt;0), Lab2_Dataset[[#This Row],[Revenue]]/Lab2_Dataset[[#This Row],[Quantity]], "")</f>
        <v>41.65</v>
      </c>
      <c r="O261" s="2" t="b">
        <v>0</v>
      </c>
      <c r="P261" s="2" t="str">
        <f t="shared" si="9"/>
        <v/>
      </c>
    </row>
    <row r="262" spans="1:16" x14ac:dyDescent="0.35">
      <c r="A262" s="2" t="s">
        <v>544</v>
      </c>
      <c r="B262" s="2" t="s">
        <v>545</v>
      </c>
      <c r="C262" s="3">
        <v>45531</v>
      </c>
      <c r="D262" s="2" t="s">
        <v>11</v>
      </c>
      <c r="E262" s="2" t="s">
        <v>16</v>
      </c>
      <c r="G262" s="2">
        <v>159</v>
      </c>
      <c r="I262" s="2" t="s">
        <v>52</v>
      </c>
      <c r="J262" s="2" t="str">
        <f t="shared" si="8"/>
        <v>Aug</v>
      </c>
      <c r="K26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2" s="2" t="b">
        <v>1</v>
      </c>
      <c r="P262" s="2" t="str">
        <f t="shared" si="9"/>
        <v/>
      </c>
    </row>
    <row r="263" spans="1:16" x14ac:dyDescent="0.35">
      <c r="A263" s="2" t="s">
        <v>546</v>
      </c>
      <c r="B263" s="2" t="s">
        <v>547</v>
      </c>
      <c r="C263" s="3">
        <v>45139</v>
      </c>
      <c r="D263" s="2" t="s">
        <v>11</v>
      </c>
      <c r="E263" s="2" t="s">
        <v>16</v>
      </c>
      <c r="G263" s="2">
        <v>191.58</v>
      </c>
      <c r="I263" s="2" t="s">
        <v>13</v>
      </c>
      <c r="J263" s="2" t="str">
        <f t="shared" si="8"/>
        <v>Aug</v>
      </c>
      <c r="K2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3" s="2" t="b">
        <v>1</v>
      </c>
      <c r="P263" s="2" t="str">
        <f t="shared" si="9"/>
        <v/>
      </c>
    </row>
    <row r="264" spans="1:16" x14ac:dyDescent="0.35">
      <c r="A264" s="2" t="s">
        <v>548</v>
      </c>
      <c r="B264" s="2" t="s">
        <v>549</v>
      </c>
      <c r="C264" s="3">
        <v>45358</v>
      </c>
      <c r="D264" s="2" t="s">
        <v>69</v>
      </c>
      <c r="E264" s="2" t="s">
        <v>16</v>
      </c>
      <c r="G264" s="2">
        <v>173.39</v>
      </c>
      <c r="I264" s="2" t="s">
        <v>31</v>
      </c>
      <c r="J264" s="2" t="str">
        <f t="shared" si="8"/>
        <v>Mar</v>
      </c>
      <c r="K2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4" s="2" t="b">
        <v>1</v>
      </c>
      <c r="P264" s="2" t="str">
        <f t="shared" si="9"/>
        <v/>
      </c>
    </row>
    <row r="265" spans="1:16" x14ac:dyDescent="0.35">
      <c r="A265" s="2" t="s">
        <v>550</v>
      </c>
      <c r="B265" s="2" t="s">
        <v>551</v>
      </c>
      <c r="C265" s="3">
        <v>45689</v>
      </c>
      <c r="D265" s="2" t="s">
        <v>11</v>
      </c>
      <c r="E265" s="2" t="s">
        <v>12</v>
      </c>
      <c r="G265" s="2">
        <v>51.67</v>
      </c>
      <c r="I265" s="2" t="s">
        <v>38</v>
      </c>
      <c r="J265" s="2" t="str">
        <f t="shared" si="8"/>
        <v>Feb</v>
      </c>
      <c r="K2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5" s="2" t="b">
        <v>1</v>
      </c>
      <c r="P265" s="2" t="str">
        <f t="shared" si="9"/>
        <v/>
      </c>
    </row>
    <row r="266" spans="1:16" x14ac:dyDescent="0.35">
      <c r="A266" s="2" t="s">
        <v>552</v>
      </c>
      <c r="B266" s="2" t="s">
        <v>553</v>
      </c>
      <c r="C266" s="3">
        <v>45324</v>
      </c>
      <c r="D266" s="2" t="s">
        <v>27</v>
      </c>
      <c r="E266" s="2" t="s">
        <v>12</v>
      </c>
      <c r="G266" s="2">
        <v>96.47</v>
      </c>
      <c r="I266" s="2" t="s">
        <v>17</v>
      </c>
      <c r="J266" s="2" t="str">
        <f t="shared" si="8"/>
        <v>Feb</v>
      </c>
      <c r="K2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6" s="2" t="b">
        <v>1</v>
      </c>
      <c r="P266" s="2" t="str">
        <f t="shared" si="9"/>
        <v/>
      </c>
    </row>
    <row r="267" spans="1:16" x14ac:dyDescent="0.35">
      <c r="A267" s="2" t="s">
        <v>554</v>
      </c>
      <c r="B267" s="2" t="s">
        <v>555</v>
      </c>
      <c r="C267" s="3">
        <v>45057</v>
      </c>
      <c r="D267" s="2" t="s">
        <v>27</v>
      </c>
      <c r="E267" s="2" t="s">
        <v>24</v>
      </c>
      <c r="G267" s="2">
        <v>13.62</v>
      </c>
      <c r="I267" s="2" t="s">
        <v>17</v>
      </c>
      <c r="J267" s="2" t="str">
        <f t="shared" si="8"/>
        <v>May</v>
      </c>
      <c r="K26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7" s="2" t="b">
        <v>1</v>
      </c>
      <c r="P267" s="2" t="str">
        <f t="shared" si="9"/>
        <v/>
      </c>
    </row>
    <row r="268" spans="1:16" x14ac:dyDescent="0.35">
      <c r="A268" s="2" t="s">
        <v>556</v>
      </c>
      <c r="B268" s="2" t="s">
        <v>557</v>
      </c>
      <c r="C268" s="3">
        <v>45579</v>
      </c>
      <c r="D268" s="2" t="s">
        <v>20</v>
      </c>
      <c r="E268" s="2" t="s">
        <v>12</v>
      </c>
      <c r="G268" s="2">
        <v>196.82</v>
      </c>
      <c r="I268" s="2" t="s">
        <v>21</v>
      </c>
      <c r="J268" s="2" t="str">
        <f t="shared" si="8"/>
        <v>Oct</v>
      </c>
      <c r="K26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68" s="2" t="b">
        <v>1</v>
      </c>
      <c r="P268" s="2">
        <f t="shared" si="9"/>
        <v>168.76</v>
      </c>
    </row>
    <row r="269" spans="1:16" x14ac:dyDescent="0.35">
      <c r="A269" s="2" t="s">
        <v>558</v>
      </c>
      <c r="B269" s="2" t="s">
        <v>559</v>
      </c>
      <c r="C269" s="3">
        <v>45285</v>
      </c>
      <c r="D269" s="2" t="s">
        <v>69</v>
      </c>
      <c r="E269" s="2" t="s">
        <v>47</v>
      </c>
      <c r="F269" s="2">
        <v>1</v>
      </c>
      <c r="G269" s="2">
        <v>168.76</v>
      </c>
      <c r="H269" s="2">
        <v>168.76</v>
      </c>
      <c r="I269" s="2" t="s">
        <v>17</v>
      </c>
      <c r="J269" s="2" t="str">
        <f t="shared" si="8"/>
        <v>Dec</v>
      </c>
      <c r="K269" s="4">
        <f>IF(AND(ISNUMBER(Lab2_Dataset[[#This Row],[Revenue]]), ISNUMBER(Lab2_Dataset[[#This Row],[Quantity]]), Lab2_Dataset[[#This Row],[Quantity]]&lt;&gt;0), Lab2_Dataset[[#This Row],[Revenue]]/Lab2_Dataset[[#This Row],[Quantity]], "")</f>
        <v>168.76</v>
      </c>
      <c r="O269" s="2" t="b">
        <v>0</v>
      </c>
      <c r="P269" s="2">
        <f t="shared" si="9"/>
        <v>285.55</v>
      </c>
    </row>
    <row r="270" spans="1:16" x14ac:dyDescent="0.35">
      <c r="A270" s="2" t="s">
        <v>560</v>
      </c>
      <c r="B270" s="2" t="s">
        <v>561</v>
      </c>
      <c r="C270" s="3">
        <v>45228</v>
      </c>
      <c r="D270" s="2" t="s">
        <v>37</v>
      </c>
      <c r="E270" s="2" t="s">
        <v>47</v>
      </c>
      <c r="F270" s="2">
        <v>5</v>
      </c>
      <c r="G270" s="2">
        <v>57.11</v>
      </c>
      <c r="H270" s="2">
        <v>285.55</v>
      </c>
      <c r="I270" s="2" t="s">
        <v>31</v>
      </c>
      <c r="J270" s="2" t="str">
        <f t="shared" si="8"/>
        <v>Oct</v>
      </c>
      <c r="K270" s="4">
        <f>IF(AND(ISNUMBER(Lab2_Dataset[[#This Row],[Revenue]]), ISNUMBER(Lab2_Dataset[[#This Row],[Quantity]]), Lab2_Dataset[[#This Row],[Quantity]]&lt;&gt;0), Lab2_Dataset[[#This Row],[Revenue]]/Lab2_Dataset[[#This Row],[Quantity]], "")</f>
        <v>57.11</v>
      </c>
      <c r="O270" s="2" t="b">
        <v>0</v>
      </c>
      <c r="P270" s="2" t="str">
        <f t="shared" si="9"/>
        <v/>
      </c>
    </row>
    <row r="271" spans="1:16" x14ac:dyDescent="0.35">
      <c r="A271" s="2" t="s">
        <v>562</v>
      </c>
      <c r="B271" s="2" t="s">
        <v>563</v>
      </c>
      <c r="C271" s="3">
        <v>45563</v>
      </c>
      <c r="D271" s="2" t="s">
        <v>34</v>
      </c>
      <c r="E271" s="2" t="s">
        <v>28</v>
      </c>
      <c r="G271" s="2">
        <v>63.87</v>
      </c>
      <c r="I271" s="2" t="s">
        <v>13</v>
      </c>
      <c r="J271" s="2" t="str">
        <f t="shared" si="8"/>
        <v>Sep</v>
      </c>
      <c r="K27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1" s="2" t="b">
        <v>1</v>
      </c>
      <c r="P271" s="2" t="str">
        <f t="shared" si="9"/>
        <v/>
      </c>
    </row>
    <row r="272" spans="1:16" x14ac:dyDescent="0.35">
      <c r="A272" s="2" t="s">
        <v>564</v>
      </c>
      <c r="B272" s="2" t="s">
        <v>565</v>
      </c>
      <c r="C272" s="3">
        <v>45697</v>
      </c>
      <c r="D272" s="2" t="s">
        <v>34</v>
      </c>
      <c r="E272" s="2" t="s">
        <v>28</v>
      </c>
      <c r="G272" s="2">
        <v>52.84</v>
      </c>
      <c r="I272" s="2" t="s">
        <v>21</v>
      </c>
      <c r="J272" s="2" t="str">
        <f t="shared" si="8"/>
        <v>Feb</v>
      </c>
      <c r="K2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2" s="2" t="b">
        <v>1</v>
      </c>
      <c r="P272" s="2" t="str">
        <f t="shared" si="9"/>
        <v/>
      </c>
    </row>
    <row r="273" spans="1:16" x14ac:dyDescent="0.35">
      <c r="A273" s="2" t="s">
        <v>566</v>
      </c>
      <c r="B273" s="2" t="s">
        <v>567</v>
      </c>
      <c r="C273" s="3">
        <v>45163</v>
      </c>
      <c r="D273" s="2" t="s">
        <v>27</v>
      </c>
      <c r="E273" s="2" t="s">
        <v>16</v>
      </c>
      <c r="G273" s="2">
        <v>117.65</v>
      </c>
      <c r="I273" s="2" t="s">
        <v>38</v>
      </c>
      <c r="J273" s="2" t="str">
        <f t="shared" si="8"/>
        <v>Aug</v>
      </c>
      <c r="K2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3" s="2" t="b">
        <v>1</v>
      </c>
      <c r="P273" s="2">
        <f t="shared" si="9"/>
        <v>126.48</v>
      </c>
    </row>
    <row r="274" spans="1:16" x14ac:dyDescent="0.35">
      <c r="A274" s="2" t="s">
        <v>568</v>
      </c>
      <c r="B274" s="2" t="s">
        <v>569</v>
      </c>
      <c r="C274" s="3">
        <v>45213</v>
      </c>
      <c r="D274" s="2" t="s">
        <v>34</v>
      </c>
      <c r="E274" s="2" t="s">
        <v>47</v>
      </c>
      <c r="F274" s="2">
        <v>1</v>
      </c>
      <c r="G274" s="2">
        <v>126.48</v>
      </c>
      <c r="H274" s="2">
        <v>126.48</v>
      </c>
      <c r="I274" s="2" t="s">
        <v>17</v>
      </c>
      <c r="J274" s="2" t="str">
        <f t="shared" si="8"/>
        <v>Oct</v>
      </c>
      <c r="K274" s="4">
        <f>IF(AND(ISNUMBER(Lab2_Dataset[[#This Row],[Revenue]]), ISNUMBER(Lab2_Dataset[[#This Row],[Quantity]]), Lab2_Dataset[[#This Row],[Quantity]]&lt;&gt;0), Lab2_Dataset[[#This Row],[Revenue]]/Lab2_Dataset[[#This Row],[Quantity]], "")</f>
        <v>126.48</v>
      </c>
      <c r="O274" s="2" t="b">
        <v>0</v>
      </c>
      <c r="P274" s="2" t="str">
        <f t="shared" si="9"/>
        <v/>
      </c>
    </row>
    <row r="275" spans="1:16" x14ac:dyDescent="0.35">
      <c r="A275" s="2" t="s">
        <v>570</v>
      </c>
      <c r="B275" s="2" t="s">
        <v>571</v>
      </c>
      <c r="C275" s="3">
        <v>45732</v>
      </c>
      <c r="D275" s="2" t="s">
        <v>11</v>
      </c>
      <c r="E275" s="2" t="s">
        <v>47</v>
      </c>
      <c r="G275" s="2">
        <v>135.75</v>
      </c>
      <c r="I275" s="2" t="s">
        <v>13</v>
      </c>
      <c r="J275" s="2" t="str">
        <f t="shared" si="8"/>
        <v>Mar</v>
      </c>
      <c r="K27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5" s="2" t="b">
        <v>1</v>
      </c>
      <c r="P275" s="2">
        <f t="shared" si="9"/>
        <v>105.25</v>
      </c>
    </row>
    <row r="276" spans="1:16" x14ac:dyDescent="0.35">
      <c r="A276" s="2" t="s">
        <v>572</v>
      </c>
      <c r="B276" s="2" t="s">
        <v>573</v>
      </c>
      <c r="C276" s="3">
        <v>45272</v>
      </c>
      <c r="D276" s="2" t="s">
        <v>11</v>
      </c>
      <c r="E276" s="2" t="s">
        <v>16</v>
      </c>
      <c r="F276" s="2">
        <v>5</v>
      </c>
      <c r="G276" s="2">
        <v>21.05</v>
      </c>
      <c r="H276" s="2">
        <v>105.25</v>
      </c>
      <c r="I276" s="2" t="s">
        <v>38</v>
      </c>
      <c r="J276" s="2" t="str">
        <f t="shared" si="8"/>
        <v>Dec</v>
      </c>
      <c r="K276" s="4">
        <f>IF(AND(ISNUMBER(Lab2_Dataset[[#This Row],[Revenue]]), ISNUMBER(Lab2_Dataset[[#This Row],[Quantity]]), Lab2_Dataset[[#This Row],[Quantity]]&lt;&gt;0), Lab2_Dataset[[#This Row],[Revenue]]/Lab2_Dataset[[#This Row],[Quantity]], "")</f>
        <v>21.05</v>
      </c>
      <c r="O276" s="2" t="b">
        <v>0</v>
      </c>
      <c r="P276" s="2" t="str">
        <f t="shared" si="9"/>
        <v/>
      </c>
    </row>
    <row r="277" spans="1:16" x14ac:dyDescent="0.35">
      <c r="A277" s="2" t="s">
        <v>574</v>
      </c>
      <c r="B277" s="2" t="s">
        <v>575</v>
      </c>
      <c r="C277" s="3">
        <v>45756</v>
      </c>
      <c r="D277" s="2" t="s">
        <v>37</v>
      </c>
      <c r="E277" s="2" t="s">
        <v>16</v>
      </c>
      <c r="G277" s="2">
        <v>149.25</v>
      </c>
      <c r="I277" s="2" t="s">
        <v>38</v>
      </c>
      <c r="J277" s="2" t="str">
        <f t="shared" si="8"/>
        <v>Apr</v>
      </c>
      <c r="K27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7" s="2" t="b">
        <v>1</v>
      </c>
      <c r="P277" s="2">
        <f t="shared" si="9"/>
        <v>503.97</v>
      </c>
    </row>
    <row r="278" spans="1:16" x14ac:dyDescent="0.35">
      <c r="A278" s="2" t="s">
        <v>576</v>
      </c>
      <c r="B278" s="2" t="s">
        <v>577</v>
      </c>
      <c r="C278" s="3">
        <v>45652</v>
      </c>
      <c r="D278" s="2" t="s">
        <v>34</v>
      </c>
      <c r="E278" s="2" t="s">
        <v>12</v>
      </c>
      <c r="F278" s="2">
        <v>3</v>
      </c>
      <c r="G278" s="2">
        <v>167.99</v>
      </c>
      <c r="H278" s="2">
        <v>503.97</v>
      </c>
      <c r="I278" s="2" t="s">
        <v>52</v>
      </c>
      <c r="J278" s="2" t="str">
        <f t="shared" si="8"/>
        <v>Dec</v>
      </c>
      <c r="K278" s="4">
        <f>IF(AND(ISNUMBER(Lab2_Dataset[[#This Row],[Revenue]]), ISNUMBER(Lab2_Dataset[[#This Row],[Quantity]]), Lab2_Dataset[[#This Row],[Quantity]]&lt;&gt;0), Lab2_Dataset[[#This Row],[Revenue]]/Lab2_Dataset[[#This Row],[Quantity]], "")</f>
        <v>167.99</v>
      </c>
      <c r="O278" s="2" t="b">
        <v>0</v>
      </c>
      <c r="P278" s="2" t="str">
        <f t="shared" si="9"/>
        <v/>
      </c>
    </row>
    <row r="279" spans="1:16" x14ac:dyDescent="0.35">
      <c r="A279" s="2" t="s">
        <v>578</v>
      </c>
      <c r="B279" s="2" t="s">
        <v>579</v>
      </c>
      <c r="C279" s="3">
        <v>45763</v>
      </c>
      <c r="D279" s="2" t="s">
        <v>34</v>
      </c>
      <c r="E279" s="2" t="s">
        <v>16</v>
      </c>
      <c r="G279" s="2">
        <v>186.23</v>
      </c>
      <c r="I279" s="2" t="s">
        <v>52</v>
      </c>
      <c r="J279" s="2" t="str">
        <f t="shared" si="8"/>
        <v>Apr</v>
      </c>
      <c r="K27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79" s="2" t="b">
        <v>1</v>
      </c>
      <c r="P279" s="2">
        <f t="shared" si="9"/>
        <v>813.19999999999993</v>
      </c>
    </row>
    <row r="280" spans="1:16" x14ac:dyDescent="0.35">
      <c r="A280" s="2" t="s">
        <v>580</v>
      </c>
      <c r="B280" s="2" t="s">
        <v>581</v>
      </c>
      <c r="C280" s="3">
        <v>45712</v>
      </c>
      <c r="D280" s="2" t="s">
        <v>11</v>
      </c>
      <c r="E280" s="2" t="s">
        <v>47</v>
      </c>
      <c r="F280" s="2">
        <v>5</v>
      </c>
      <c r="G280" s="2">
        <v>162.63999999999999</v>
      </c>
      <c r="H280" s="2">
        <v>813.2</v>
      </c>
      <c r="I280" s="2" t="s">
        <v>21</v>
      </c>
      <c r="J280" s="2" t="str">
        <f t="shared" si="8"/>
        <v>Feb</v>
      </c>
      <c r="K280" s="4">
        <f>IF(AND(ISNUMBER(Lab2_Dataset[[#This Row],[Revenue]]), ISNUMBER(Lab2_Dataset[[#This Row],[Quantity]]), Lab2_Dataset[[#This Row],[Quantity]]&lt;&gt;0), Lab2_Dataset[[#This Row],[Revenue]]/Lab2_Dataset[[#This Row],[Quantity]], "")</f>
        <v>162.64000000000001</v>
      </c>
      <c r="O280" s="2" t="b">
        <v>0</v>
      </c>
      <c r="P280" s="2" t="str">
        <f t="shared" si="9"/>
        <v/>
      </c>
    </row>
    <row r="281" spans="1:16" x14ac:dyDescent="0.35">
      <c r="A281" s="2" t="s">
        <v>582</v>
      </c>
      <c r="B281" s="2" t="s">
        <v>583</v>
      </c>
      <c r="C281" s="3">
        <v>45604</v>
      </c>
      <c r="D281" s="2" t="s">
        <v>69</v>
      </c>
      <c r="E281" s="2" t="s">
        <v>16</v>
      </c>
      <c r="G281" s="2">
        <v>187.11</v>
      </c>
      <c r="I281" s="2" t="s">
        <v>21</v>
      </c>
      <c r="J281" s="2" t="str">
        <f t="shared" si="8"/>
        <v>Nov</v>
      </c>
      <c r="K2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1" s="2" t="b">
        <v>1</v>
      </c>
      <c r="P281" s="2">
        <f t="shared" si="9"/>
        <v>163.1</v>
      </c>
    </row>
    <row r="282" spans="1:16" x14ac:dyDescent="0.35">
      <c r="A282" s="2" t="s">
        <v>584</v>
      </c>
      <c r="B282" s="2" t="s">
        <v>585</v>
      </c>
      <c r="C282" s="3">
        <v>45123</v>
      </c>
      <c r="D282" s="2" t="s">
        <v>11</v>
      </c>
      <c r="E282" s="2" t="s">
        <v>47</v>
      </c>
      <c r="F282" s="2">
        <v>1</v>
      </c>
      <c r="G282" s="2">
        <v>163.1</v>
      </c>
      <c r="H282" s="2">
        <v>163.1</v>
      </c>
      <c r="I282" s="2" t="s">
        <v>21</v>
      </c>
      <c r="J282" s="2" t="str">
        <f t="shared" si="8"/>
        <v>Jul</v>
      </c>
      <c r="K282" s="4">
        <f>IF(AND(ISNUMBER(Lab2_Dataset[[#This Row],[Revenue]]), ISNUMBER(Lab2_Dataset[[#This Row],[Quantity]]), Lab2_Dataset[[#This Row],[Quantity]]&lt;&gt;0), Lab2_Dataset[[#This Row],[Revenue]]/Lab2_Dataset[[#This Row],[Quantity]], "")</f>
        <v>163.1</v>
      </c>
      <c r="O282" s="2" t="b">
        <v>0</v>
      </c>
      <c r="P282" s="2">
        <f t="shared" si="9"/>
        <v>541.1</v>
      </c>
    </row>
    <row r="283" spans="1:16" x14ac:dyDescent="0.35">
      <c r="A283" s="2" t="s">
        <v>586</v>
      </c>
      <c r="B283" s="2" t="s">
        <v>587</v>
      </c>
      <c r="C283" s="3">
        <v>45372</v>
      </c>
      <c r="D283" s="2" t="s">
        <v>34</v>
      </c>
      <c r="E283" s="2" t="s">
        <v>47</v>
      </c>
      <c r="F283" s="2">
        <v>5</v>
      </c>
      <c r="G283" s="2">
        <v>108.22</v>
      </c>
      <c r="H283" s="2">
        <v>541.1</v>
      </c>
      <c r="I283" s="2" t="s">
        <v>13</v>
      </c>
      <c r="J283" s="2" t="str">
        <f t="shared" si="8"/>
        <v>Mar</v>
      </c>
      <c r="K283" s="4">
        <f>IF(AND(ISNUMBER(Lab2_Dataset[[#This Row],[Revenue]]), ISNUMBER(Lab2_Dataset[[#This Row],[Quantity]]), Lab2_Dataset[[#This Row],[Quantity]]&lt;&gt;0), Lab2_Dataset[[#This Row],[Revenue]]/Lab2_Dataset[[#This Row],[Quantity]], "")</f>
        <v>108.22</v>
      </c>
      <c r="O283" s="2" t="b">
        <v>0</v>
      </c>
      <c r="P283" s="2" t="str">
        <f t="shared" si="9"/>
        <v/>
      </c>
    </row>
    <row r="284" spans="1:16" x14ac:dyDescent="0.35">
      <c r="A284" s="2" t="s">
        <v>588</v>
      </c>
      <c r="B284" s="2" t="s">
        <v>589</v>
      </c>
      <c r="C284" s="3">
        <v>45158</v>
      </c>
      <c r="D284" s="2" t="s">
        <v>27</v>
      </c>
      <c r="E284" s="2" t="s">
        <v>47</v>
      </c>
      <c r="G284" s="2">
        <v>179.73</v>
      </c>
      <c r="I284" s="2" t="s">
        <v>31</v>
      </c>
      <c r="J284" s="2" t="str">
        <f t="shared" si="8"/>
        <v>Aug</v>
      </c>
      <c r="K28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4" s="2" t="b">
        <v>1</v>
      </c>
      <c r="P284" s="2" t="str">
        <f t="shared" si="9"/>
        <v/>
      </c>
    </row>
    <row r="285" spans="1:16" x14ac:dyDescent="0.35">
      <c r="A285" s="2" t="s">
        <v>590</v>
      </c>
      <c r="B285" s="2" t="s">
        <v>591</v>
      </c>
      <c r="C285" s="3">
        <v>45237</v>
      </c>
      <c r="D285" s="2" t="s">
        <v>37</v>
      </c>
      <c r="E285" s="2" t="s">
        <v>47</v>
      </c>
      <c r="G285" s="2">
        <v>61.9</v>
      </c>
      <c r="I285" s="2" t="s">
        <v>52</v>
      </c>
      <c r="J285" s="2" t="str">
        <f t="shared" si="8"/>
        <v>Nov</v>
      </c>
      <c r="K28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5" s="2" t="b">
        <v>1</v>
      </c>
      <c r="P285" s="2" t="str">
        <f t="shared" si="9"/>
        <v/>
      </c>
    </row>
    <row r="286" spans="1:16" x14ac:dyDescent="0.35">
      <c r="A286" s="2" t="s">
        <v>592</v>
      </c>
      <c r="B286" s="2" t="s">
        <v>593</v>
      </c>
      <c r="C286" s="3">
        <v>45205</v>
      </c>
      <c r="D286" s="2" t="s">
        <v>34</v>
      </c>
      <c r="E286" s="2" t="s">
        <v>16</v>
      </c>
      <c r="G286" s="2">
        <v>25.07</v>
      </c>
      <c r="I286" s="2" t="s">
        <v>13</v>
      </c>
      <c r="J286" s="2" t="str">
        <f t="shared" si="8"/>
        <v>Oct</v>
      </c>
      <c r="K2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6" s="2" t="b">
        <v>1</v>
      </c>
      <c r="P286" s="2">
        <f t="shared" si="9"/>
        <v>412.55</v>
      </c>
    </row>
    <row r="287" spans="1:16" x14ac:dyDescent="0.35">
      <c r="A287" s="2" t="s">
        <v>594</v>
      </c>
      <c r="B287" s="2" t="s">
        <v>595</v>
      </c>
      <c r="C287" s="3">
        <v>45425</v>
      </c>
      <c r="D287" s="2" t="s">
        <v>34</v>
      </c>
      <c r="E287" s="2" t="s">
        <v>24</v>
      </c>
      <c r="F287" s="2">
        <v>5</v>
      </c>
      <c r="G287" s="2">
        <v>82.51</v>
      </c>
      <c r="H287" s="2">
        <v>412.55</v>
      </c>
      <c r="I287" s="2" t="s">
        <v>21</v>
      </c>
      <c r="J287" s="2" t="str">
        <f t="shared" si="8"/>
        <v>May</v>
      </c>
      <c r="K287" s="4">
        <f>IF(AND(ISNUMBER(Lab2_Dataset[[#This Row],[Revenue]]), ISNUMBER(Lab2_Dataset[[#This Row],[Quantity]]), Lab2_Dataset[[#This Row],[Quantity]]&lt;&gt;0), Lab2_Dataset[[#This Row],[Revenue]]/Lab2_Dataset[[#This Row],[Quantity]], "")</f>
        <v>82.51</v>
      </c>
      <c r="O287" s="2" t="b">
        <v>0</v>
      </c>
      <c r="P287" s="2">
        <f t="shared" si="9"/>
        <v>1181.25</v>
      </c>
    </row>
    <row r="288" spans="1:16" x14ac:dyDescent="0.35">
      <c r="A288" s="2" t="s">
        <v>596</v>
      </c>
      <c r="B288" s="2" t="s">
        <v>597</v>
      </c>
      <c r="C288" s="3">
        <v>45321</v>
      </c>
      <c r="D288" s="2" t="s">
        <v>20</v>
      </c>
      <c r="E288" s="2" t="s">
        <v>28</v>
      </c>
      <c r="F288" s="2">
        <v>7</v>
      </c>
      <c r="G288" s="2">
        <v>168.75</v>
      </c>
      <c r="I288" s="2" t="s">
        <v>21</v>
      </c>
      <c r="J288" s="2" t="str">
        <f t="shared" si="8"/>
        <v>Jan</v>
      </c>
      <c r="K2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88" s="2" t="b">
        <v>0</v>
      </c>
      <c r="P288" s="2">
        <f t="shared" si="9"/>
        <v>179.47</v>
      </c>
    </row>
    <row r="289" spans="1:16" x14ac:dyDescent="0.35">
      <c r="A289" s="2" t="s">
        <v>598</v>
      </c>
      <c r="B289" s="2" t="s">
        <v>599</v>
      </c>
      <c r="C289" s="3">
        <v>45235</v>
      </c>
      <c r="D289" s="2" t="s">
        <v>37</v>
      </c>
      <c r="E289" s="2" t="s">
        <v>16</v>
      </c>
      <c r="F289" s="2">
        <v>1</v>
      </c>
      <c r="G289" s="2">
        <v>179.47</v>
      </c>
      <c r="H289" s="2">
        <v>179.47</v>
      </c>
      <c r="I289" s="2" t="s">
        <v>31</v>
      </c>
      <c r="J289" s="2" t="str">
        <f t="shared" si="8"/>
        <v>Nov</v>
      </c>
      <c r="K289" s="4">
        <f>IF(AND(ISNUMBER(Lab2_Dataset[[#This Row],[Revenue]]), ISNUMBER(Lab2_Dataset[[#This Row],[Quantity]]), Lab2_Dataset[[#This Row],[Quantity]]&lt;&gt;0), Lab2_Dataset[[#This Row],[Revenue]]/Lab2_Dataset[[#This Row],[Quantity]], "")</f>
        <v>179.47</v>
      </c>
      <c r="O289" s="2" t="b">
        <v>0</v>
      </c>
      <c r="P289" s="2" t="str">
        <f t="shared" si="9"/>
        <v/>
      </c>
    </row>
    <row r="290" spans="1:16" x14ac:dyDescent="0.35">
      <c r="A290" s="2" t="s">
        <v>600</v>
      </c>
      <c r="B290" s="2" t="s">
        <v>601</v>
      </c>
      <c r="C290" s="3">
        <v>45379</v>
      </c>
      <c r="D290" s="2" t="s">
        <v>34</v>
      </c>
      <c r="E290" s="2" t="s">
        <v>12</v>
      </c>
      <c r="G290" s="2">
        <v>58.26</v>
      </c>
      <c r="I290" s="2" t="s">
        <v>13</v>
      </c>
      <c r="J290" s="2" t="str">
        <f t="shared" si="8"/>
        <v>Mar</v>
      </c>
      <c r="K2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0" s="2" t="b">
        <v>1</v>
      </c>
      <c r="P290" s="2">
        <f t="shared" si="9"/>
        <v>332.88</v>
      </c>
    </row>
    <row r="291" spans="1:16" x14ac:dyDescent="0.35">
      <c r="A291" s="2" t="s">
        <v>602</v>
      </c>
      <c r="B291" s="2" t="s">
        <v>603</v>
      </c>
      <c r="C291" s="3">
        <v>45207</v>
      </c>
      <c r="D291" s="2" t="s">
        <v>27</v>
      </c>
      <c r="E291" s="2" t="s">
        <v>12</v>
      </c>
      <c r="F291" s="2">
        <v>2</v>
      </c>
      <c r="G291" s="2">
        <v>166.44</v>
      </c>
      <c r="H291" s="2">
        <v>332.88</v>
      </c>
      <c r="I291" s="2" t="s">
        <v>52</v>
      </c>
      <c r="J291" s="2" t="str">
        <f t="shared" si="8"/>
        <v>Oct</v>
      </c>
      <c r="K291" s="4">
        <f>IF(AND(ISNUMBER(Lab2_Dataset[[#This Row],[Revenue]]), ISNUMBER(Lab2_Dataset[[#This Row],[Quantity]]), Lab2_Dataset[[#This Row],[Quantity]]&lt;&gt;0), Lab2_Dataset[[#This Row],[Revenue]]/Lab2_Dataset[[#This Row],[Quantity]], "")</f>
        <v>166.44</v>
      </c>
      <c r="O291" s="2" t="b">
        <v>0</v>
      </c>
      <c r="P291" s="2" t="str">
        <f t="shared" si="9"/>
        <v/>
      </c>
    </row>
    <row r="292" spans="1:16" x14ac:dyDescent="0.35">
      <c r="A292" s="2" t="s">
        <v>604</v>
      </c>
      <c r="B292" s="2" t="s">
        <v>605</v>
      </c>
      <c r="C292" s="3">
        <v>45574</v>
      </c>
      <c r="D292" s="2" t="s">
        <v>27</v>
      </c>
      <c r="E292" s="2" t="s">
        <v>12</v>
      </c>
      <c r="G292" s="2">
        <v>121.75</v>
      </c>
      <c r="I292" s="2" t="s">
        <v>31</v>
      </c>
      <c r="J292" s="2" t="str">
        <f t="shared" si="8"/>
        <v>Oct</v>
      </c>
      <c r="K2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2" s="2" t="b">
        <v>1</v>
      </c>
      <c r="P292" s="2" t="str">
        <f t="shared" si="9"/>
        <v/>
      </c>
    </row>
    <row r="293" spans="1:16" x14ac:dyDescent="0.35">
      <c r="A293" s="2" t="s">
        <v>606</v>
      </c>
      <c r="B293" s="2" t="s">
        <v>607</v>
      </c>
      <c r="C293" s="3">
        <v>45449</v>
      </c>
      <c r="D293" s="2" t="s">
        <v>37</v>
      </c>
      <c r="E293" s="2" t="s">
        <v>47</v>
      </c>
      <c r="G293" s="2">
        <v>24.93</v>
      </c>
      <c r="I293" s="2" t="s">
        <v>38</v>
      </c>
      <c r="J293" s="2" t="str">
        <f t="shared" si="8"/>
        <v>Jun</v>
      </c>
      <c r="K2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3" s="2" t="b">
        <v>1</v>
      </c>
      <c r="P293" s="2">
        <f t="shared" si="9"/>
        <v>332.25</v>
      </c>
    </row>
    <row r="294" spans="1:16" x14ac:dyDescent="0.35">
      <c r="A294" s="2" t="s">
        <v>608</v>
      </c>
      <c r="B294" s="2" t="s">
        <v>609</v>
      </c>
      <c r="C294" s="3">
        <v>45764</v>
      </c>
      <c r="D294" s="2" t="s">
        <v>27</v>
      </c>
      <c r="E294" s="2" t="s">
        <v>28</v>
      </c>
      <c r="F294" s="2">
        <v>3</v>
      </c>
      <c r="G294" s="2">
        <v>110.75</v>
      </c>
      <c r="H294" s="2">
        <v>332.25</v>
      </c>
      <c r="I294" s="2" t="s">
        <v>17</v>
      </c>
      <c r="J294" s="2" t="str">
        <f t="shared" si="8"/>
        <v>Apr</v>
      </c>
      <c r="K294" s="4">
        <f>IF(AND(ISNUMBER(Lab2_Dataset[[#This Row],[Revenue]]), ISNUMBER(Lab2_Dataset[[#This Row],[Quantity]]), Lab2_Dataset[[#This Row],[Quantity]]&lt;&gt;0), Lab2_Dataset[[#This Row],[Revenue]]/Lab2_Dataset[[#This Row],[Quantity]], "")</f>
        <v>110.75</v>
      </c>
      <c r="O294" s="2" t="b">
        <v>0</v>
      </c>
      <c r="P294" s="2">
        <f t="shared" si="9"/>
        <v>901.6</v>
      </c>
    </row>
    <row r="295" spans="1:16" x14ac:dyDescent="0.35">
      <c r="A295" s="2" t="s">
        <v>610</v>
      </c>
      <c r="B295" s="2" t="s">
        <v>611</v>
      </c>
      <c r="C295" s="3">
        <v>45392</v>
      </c>
      <c r="D295" s="2" t="s">
        <v>37</v>
      </c>
      <c r="E295" s="2" t="s">
        <v>24</v>
      </c>
      <c r="F295" s="2">
        <v>8</v>
      </c>
      <c r="G295" s="2">
        <v>112.7</v>
      </c>
      <c r="H295" s="2">
        <v>901.6</v>
      </c>
      <c r="I295" s="2" t="s">
        <v>17</v>
      </c>
      <c r="J295" s="2" t="str">
        <f t="shared" si="8"/>
        <v>Apr</v>
      </c>
      <c r="K295" s="4">
        <f>IF(AND(ISNUMBER(Lab2_Dataset[[#This Row],[Revenue]]), ISNUMBER(Lab2_Dataset[[#This Row],[Quantity]]), Lab2_Dataset[[#This Row],[Quantity]]&lt;&gt;0), Lab2_Dataset[[#This Row],[Revenue]]/Lab2_Dataset[[#This Row],[Quantity]], "")</f>
        <v>112.7</v>
      </c>
      <c r="O295" s="2" t="b">
        <v>0</v>
      </c>
      <c r="P295" s="2" t="str">
        <f t="shared" si="9"/>
        <v/>
      </c>
    </row>
    <row r="296" spans="1:16" x14ac:dyDescent="0.35">
      <c r="A296" s="2" t="s">
        <v>612</v>
      </c>
      <c r="B296" s="2" t="s">
        <v>613</v>
      </c>
      <c r="C296" s="3">
        <v>45635</v>
      </c>
      <c r="D296" s="2" t="s">
        <v>37</v>
      </c>
      <c r="E296" s="2" t="s">
        <v>16</v>
      </c>
      <c r="G296" s="2">
        <v>117.6</v>
      </c>
      <c r="I296" s="2" t="s">
        <v>52</v>
      </c>
      <c r="J296" s="2" t="str">
        <f t="shared" si="8"/>
        <v>Dec</v>
      </c>
      <c r="K2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6" s="2" t="b">
        <v>1</v>
      </c>
      <c r="P296" s="2" t="str">
        <f t="shared" si="9"/>
        <v/>
      </c>
    </row>
    <row r="297" spans="1:16" x14ac:dyDescent="0.35">
      <c r="A297" s="2" t="s">
        <v>614</v>
      </c>
      <c r="B297" s="2" t="s">
        <v>615</v>
      </c>
      <c r="C297" s="3">
        <v>45427</v>
      </c>
      <c r="D297" s="2" t="s">
        <v>69</v>
      </c>
      <c r="E297" s="2" t="s">
        <v>12</v>
      </c>
      <c r="G297" s="2">
        <v>33.42</v>
      </c>
      <c r="I297" s="2" t="s">
        <v>21</v>
      </c>
      <c r="J297" s="2" t="str">
        <f t="shared" si="8"/>
        <v>May</v>
      </c>
      <c r="K2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297" s="2" t="b">
        <v>1</v>
      </c>
      <c r="P297" s="2">
        <f t="shared" si="9"/>
        <v>1123.1999999999998</v>
      </c>
    </row>
    <row r="298" spans="1:16" x14ac:dyDescent="0.35">
      <c r="A298" s="2" t="s">
        <v>616</v>
      </c>
      <c r="B298" s="2" t="s">
        <v>617</v>
      </c>
      <c r="C298" s="3">
        <v>45729</v>
      </c>
      <c r="D298" s="2" t="s">
        <v>34</v>
      </c>
      <c r="E298" s="2" t="s">
        <v>12</v>
      </c>
      <c r="F298" s="2">
        <v>6</v>
      </c>
      <c r="G298" s="2">
        <v>187.2</v>
      </c>
      <c r="H298" s="2">
        <v>1123.2</v>
      </c>
      <c r="I298" s="2" t="s">
        <v>17</v>
      </c>
      <c r="J298" s="2" t="str">
        <f t="shared" si="8"/>
        <v>Mar</v>
      </c>
      <c r="K298" s="4">
        <f>IF(AND(ISNUMBER(Lab2_Dataset[[#This Row],[Revenue]]), ISNUMBER(Lab2_Dataset[[#This Row],[Quantity]]), Lab2_Dataset[[#This Row],[Quantity]]&lt;&gt;0), Lab2_Dataset[[#This Row],[Revenue]]/Lab2_Dataset[[#This Row],[Quantity]], "")</f>
        <v>187.20000000000002</v>
      </c>
      <c r="O298" s="2" t="b">
        <v>0</v>
      </c>
      <c r="P298" s="2">
        <f t="shared" si="9"/>
        <v>423.92</v>
      </c>
    </row>
    <row r="299" spans="1:16" x14ac:dyDescent="0.35">
      <c r="A299" s="2" t="s">
        <v>618</v>
      </c>
      <c r="B299" s="2" t="s">
        <v>619</v>
      </c>
      <c r="C299" s="3">
        <v>45415</v>
      </c>
      <c r="D299" s="2" t="s">
        <v>69</v>
      </c>
      <c r="E299" s="2" t="s">
        <v>16</v>
      </c>
      <c r="F299" s="2">
        <v>7</v>
      </c>
      <c r="G299" s="2">
        <v>60.56</v>
      </c>
      <c r="H299" s="2">
        <v>423.92</v>
      </c>
      <c r="I299" s="2" t="s">
        <v>21</v>
      </c>
      <c r="J299" s="2" t="str">
        <f t="shared" si="8"/>
        <v>May</v>
      </c>
      <c r="K299" s="4">
        <f>IF(AND(ISNUMBER(Lab2_Dataset[[#This Row],[Revenue]]), ISNUMBER(Lab2_Dataset[[#This Row],[Quantity]]), Lab2_Dataset[[#This Row],[Quantity]]&lt;&gt;0), Lab2_Dataset[[#This Row],[Revenue]]/Lab2_Dataset[[#This Row],[Quantity]], "")</f>
        <v>60.56</v>
      </c>
      <c r="O299" s="2" t="b">
        <v>0</v>
      </c>
      <c r="P299" s="2" t="str">
        <f t="shared" si="9"/>
        <v/>
      </c>
    </row>
    <row r="300" spans="1:16" x14ac:dyDescent="0.35">
      <c r="A300" s="2" t="s">
        <v>620</v>
      </c>
      <c r="B300" s="2" t="s">
        <v>621</v>
      </c>
      <c r="C300" s="3">
        <v>45711</v>
      </c>
      <c r="D300" s="2" t="s">
        <v>69</v>
      </c>
      <c r="E300" s="2" t="s">
        <v>47</v>
      </c>
      <c r="G300" s="2">
        <v>36.200000000000003</v>
      </c>
      <c r="I300" s="2" t="s">
        <v>13</v>
      </c>
      <c r="J300" s="2" t="str">
        <f t="shared" si="8"/>
        <v>Feb</v>
      </c>
      <c r="K30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0" s="2" t="b">
        <v>1</v>
      </c>
      <c r="P300" s="2">
        <f t="shared" si="9"/>
        <v>77.64</v>
      </c>
    </row>
    <row r="301" spans="1:16" x14ac:dyDescent="0.35">
      <c r="A301" s="2" t="s">
        <v>622</v>
      </c>
      <c r="B301" s="2" t="s">
        <v>623</v>
      </c>
      <c r="C301" s="3">
        <v>45292</v>
      </c>
      <c r="D301" s="2" t="s">
        <v>34</v>
      </c>
      <c r="E301" s="2" t="s">
        <v>16</v>
      </c>
      <c r="F301" s="2">
        <v>2</v>
      </c>
      <c r="G301" s="2">
        <v>38.82</v>
      </c>
      <c r="H301" s="2">
        <v>77.64</v>
      </c>
      <c r="I301" s="2" t="s">
        <v>17</v>
      </c>
      <c r="J301" s="2" t="str">
        <f t="shared" si="8"/>
        <v>Jan</v>
      </c>
      <c r="K301" s="4">
        <f>IF(AND(ISNUMBER(Lab2_Dataset[[#This Row],[Revenue]]), ISNUMBER(Lab2_Dataset[[#This Row],[Quantity]]), Lab2_Dataset[[#This Row],[Quantity]]&lt;&gt;0), Lab2_Dataset[[#This Row],[Revenue]]/Lab2_Dataset[[#This Row],[Quantity]], "")</f>
        <v>38.82</v>
      </c>
      <c r="O301" s="2" t="b">
        <v>0</v>
      </c>
      <c r="P301" s="2">
        <f t="shared" si="9"/>
        <v>93.05</v>
      </c>
    </row>
    <row r="302" spans="1:16" x14ac:dyDescent="0.35">
      <c r="A302" s="2" t="s">
        <v>624</v>
      </c>
      <c r="B302" s="2" t="s">
        <v>625</v>
      </c>
      <c r="C302" s="3">
        <v>45777</v>
      </c>
      <c r="D302" s="2" t="s">
        <v>20</v>
      </c>
      <c r="E302" s="2" t="s">
        <v>24</v>
      </c>
      <c r="F302" s="2">
        <v>1</v>
      </c>
      <c r="G302" s="2">
        <v>93.05</v>
      </c>
      <c r="H302" s="2">
        <v>93.05</v>
      </c>
      <c r="I302" s="2" t="s">
        <v>21</v>
      </c>
      <c r="J302" s="2" t="str">
        <f t="shared" si="8"/>
        <v>Apr</v>
      </c>
      <c r="K302" s="4">
        <f>IF(AND(ISNUMBER(Lab2_Dataset[[#This Row],[Revenue]]), ISNUMBER(Lab2_Dataset[[#This Row],[Quantity]]), Lab2_Dataset[[#This Row],[Quantity]]&lt;&gt;0), Lab2_Dataset[[#This Row],[Revenue]]/Lab2_Dataset[[#This Row],[Quantity]], "")</f>
        <v>93.05</v>
      </c>
      <c r="O302" s="2" t="b">
        <v>0</v>
      </c>
      <c r="P302" s="2">
        <f t="shared" si="9"/>
        <v>1247.3599999999999</v>
      </c>
    </row>
    <row r="303" spans="1:16" x14ac:dyDescent="0.35">
      <c r="A303" s="2" t="s">
        <v>626</v>
      </c>
      <c r="B303" s="2" t="s">
        <v>627</v>
      </c>
      <c r="C303" s="3">
        <v>45078</v>
      </c>
      <c r="D303" s="2" t="s">
        <v>34</v>
      </c>
      <c r="E303" s="2" t="s">
        <v>12</v>
      </c>
      <c r="F303" s="2">
        <v>8</v>
      </c>
      <c r="G303" s="2">
        <v>155.91999999999999</v>
      </c>
      <c r="H303" s="2">
        <v>1247.3599999999999</v>
      </c>
      <c r="I303" s="2" t="s">
        <v>31</v>
      </c>
      <c r="J303" s="2" t="str">
        <f t="shared" si="8"/>
        <v>Jun</v>
      </c>
      <c r="K303" s="4">
        <f>IF(AND(ISNUMBER(Lab2_Dataset[[#This Row],[Revenue]]), ISNUMBER(Lab2_Dataset[[#This Row],[Quantity]]), Lab2_Dataset[[#This Row],[Quantity]]&lt;&gt;0), Lab2_Dataset[[#This Row],[Revenue]]/Lab2_Dataset[[#This Row],[Quantity]], "")</f>
        <v>155.91999999999999</v>
      </c>
      <c r="O303" s="2" t="b">
        <v>0</v>
      </c>
      <c r="P303" s="2" t="str">
        <f t="shared" si="9"/>
        <v/>
      </c>
    </row>
    <row r="304" spans="1:16" x14ac:dyDescent="0.35">
      <c r="A304" s="2" t="s">
        <v>628</v>
      </c>
      <c r="B304" s="2" t="s">
        <v>629</v>
      </c>
      <c r="C304" s="3">
        <v>45512</v>
      </c>
      <c r="D304" s="2" t="s">
        <v>20</v>
      </c>
      <c r="E304" s="2" t="s">
        <v>12</v>
      </c>
      <c r="G304" s="2">
        <v>116.17</v>
      </c>
      <c r="I304" s="2" t="s">
        <v>21</v>
      </c>
      <c r="J304" s="2" t="str">
        <f t="shared" si="8"/>
        <v>Aug</v>
      </c>
      <c r="K30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4" s="2" t="b">
        <v>1</v>
      </c>
      <c r="P304" s="2">
        <f t="shared" si="9"/>
        <v>300.87</v>
      </c>
    </row>
    <row r="305" spans="1:16" x14ac:dyDescent="0.35">
      <c r="A305" s="2" t="s">
        <v>630</v>
      </c>
      <c r="B305" s="2" t="s">
        <v>631</v>
      </c>
      <c r="C305" s="3">
        <v>45769</v>
      </c>
      <c r="D305" s="2" t="s">
        <v>11</v>
      </c>
      <c r="E305" s="2" t="s">
        <v>47</v>
      </c>
      <c r="F305" s="2">
        <v>9</v>
      </c>
      <c r="G305" s="2">
        <v>33.43</v>
      </c>
      <c r="H305" s="2">
        <v>300.87</v>
      </c>
      <c r="I305" s="2" t="s">
        <v>13</v>
      </c>
      <c r="J305" s="2" t="str">
        <f t="shared" si="8"/>
        <v>Apr</v>
      </c>
      <c r="K305" s="4">
        <f>IF(AND(ISNUMBER(Lab2_Dataset[[#This Row],[Revenue]]), ISNUMBER(Lab2_Dataset[[#This Row],[Quantity]]), Lab2_Dataset[[#This Row],[Quantity]]&lt;&gt;0), Lab2_Dataset[[#This Row],[Revenue]]/Lab2_Dataset[[#This Row],[Quantity]], "")</f>
        <v>33.43</v>
      </c>
      <c r="O305" s="2" t="b">
        <v>0</v>
      </c>
      <c r="P305" s="2" t="str">
        <f t="shared" si="9"/>
        <v/>
      </c>
    </row>
    <row r="306" spans="1:16" x14ac:dyDescent="0.35">
      <c r="A306" s="2" t="s">
        <v>632</v>
      </c>
      <c r="B306" s="2" t="s">
        <v>633</v>
      </c>
      <c r="C306" s="3">
        <v>45483</v>
      </c>
      <c r="D306" s="2" t="s">
        <v>69</v>
      </c>
      <c r="E306" s="2" t="s">
        <v>47</v>
      </c>
      <c r="G306" s="2">
        <v>66.17</v>
      </c>
      <c r="I306" s="2" t="s">
        <v>38</v>
      </c>
      <c r="J306" s="2" t="str">
        <f t="shared" si="8"/>
        <v>Jul</v>
      </c>
      <c r="K3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6" s="2" t="b">
        <v>1</v>
      </c>
      <c r="P306" s="2">
        <f t="shared" si="9"/>
        <v>1348.13</v>
      </c>
    </row>
    <row r="307" spans="1:16" x14ac:dyDescent="0.35">
      <c r="A307" s="2" t="s">
        <v>634</v>
      </c>
      <c r="B307" s="2" t="s">
        <v>635</v>
      </c>
      <c r="C307" s="3">
        <v>45403</v>
      </c>
      <c r="D307" s="2" t="s">
        <v>20</v>
      </c>
      <c r="E307" s="2" t="s">
        <v>12</v>
      </c>
      <c r="F307" s="2">
        <v>7</v>
      </c>
      <c r="G307" s="2">
        <v>192.59</v>
      </c>
      <c r="H307" s="2">
        <v>1348.13</v>
      </c>
      <c r="I307" s="2" t="s">
        <v>13</v>
      </c>
      <c r="J307" s="2" t="str">
        <f t="shared" si="8"/>
        <v>Apr</v>
      </c>
      <c r="K307" s="4">
        <f>IF(AND(ISNUMBER(Lab2_Dataset[[#This Row],[Revenue]]), ISNUMBER(Lab2_Dataset[[#This Row],[Quantity]]), Lab2_Dataset[[#This Row],[Quantity]]&lt;&gt;0), Lab2_Dataset[[#This Row],[Revenue]]/Lab2_Dataset[[#This Row],[Quantity]], "")</f>
        <v>192.59</v>
      </c>
      <c r="O307" s="2" t="b">
        <v>0</v>
      </c>
      <c r="P307" s="2" t="str">
        <f t="shared" si="9"/>
        <v/>
      </c>
    </row>
    <row r="308" spans="1:16" x14ac:dyDescent="0.35">
      <c r="A308" s="2" t="s">
        <v>636</v>
      </c>
      <c r="B308" s="2" t="s">
        <v>637</v>
      </c>
      <c r="C308" s="3">
        <v>45657</v>
      </c>
      <c r="D308" s="2" t="s">
        <v>20</v>
      </c>
      <c r="E308" s="2" t="s">
        <v>28</v>
      </c>
      <c r="G308" s="2">
        <v>159.91999999999999</v>
      </c>
      <c r="I308" s="2" t="s">
        <v>38</v>
      </c>
      <c r="J308" s="2" t="str">
        <f t="shared" si="8"/>
        <v>Dec</v>
      </c>
      <c r="K30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8" s="2" t="b">
        <v>1</v>
      </c>
      <c r="P308" s="2">
        <f t="shared" si="9"/>
        <v>195.60000000000002</v>
      </c>
    </row>
    <row r="309" spans="1:16" x14ac:dyDescent="0.35">
      <c r="A309" s="2" t="s">
        <v>638</v>
      </c>
      <c r="B309" s="2" t="s">
        <v>639</v>
      </c>
      <c r="C309" s="3">
        <v>45386</v>
      </c>
      <c r="D309" s="2" t="s">
        <v>34</v>
      </c>
      <c r="E309" s="2" t="s">
        <v>47</v>
      </c>
      <c r="F309" s="2">
        <v>3</v>
      </c>
      <c r="G309" s="2">
        <v>65.2</v>
      </c>
      <c r="I309" s="2" t="s">
        <v>38</v>
      </c>
      <c r="J309" s="2" t="str">
        <f t="shared" si="8"/>
        <v>Apr</v>
      </c>
      <c r="K30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09" s="2" t="b">
        <v>0</v>
      </c>
      <c r="P309" s="2">
        <f t="shared" si="9"/>
        <v>269.42</v>
      </c>
    </row>
    <row r="310" spans="1:16" x14ac:dyDescent="0.35">
      <c r="A310" s="2" t="s">
        <v>640</v>
      </c>
      <c r="B310" s="2" t="s">
        <v>641</v>
      </c>
      <c r="C310" s="3">
        <v>45167</v>
      </c>
      <c r="D310" s="2" t="s">
        <v>11</v>
      </c>
      <c r="E310" s="2" t="s">
        <v>28</v>
      </c>
      <c r="F310" s="2">
        <v>2</v>
      </c>
      <c r="G310" s="2">
        <v>134.71</v>
      </c>
      <c r="H310" s="2">
        <v>269.42</v>
      </c>
      <c r="I310" s="2" t="s">
        <v>17</v>
      </c>
      <c r="J310" s="2" t="str">
        <f t="shared" si="8"/>
        <v>Aug</v>
      </c>
      <c r="K310" s="4">
        <f>IF(AND(ISNUMBER(Lab2_Dataset[[#This Row],[Revenue]]), ISNUMBER(Lab2_Dataset[[#This Row],[Quantity]]), Lab2_Dataset[[#This Row],[Quantity]]&lt;&gt;0), Lab2_Dataset[[#This Row],[Revenue]]/Lab2_Dataset[[#This Row],[Quantity]], "")</f>
        <v>134.71</v>
      </c>
      <c r="O310" s="2" t="b">
        <v>0</v>
      </c>
      <c r="P310" s="2" t="str">
        <f t="shared" si="9"/>
        <v/>
      </c>
    </row>
    <row r="311" spans="1:16" x14ac:dyDescent="0.35">
      <c r="A311" s="2" t="s">
        <v>642</v>
      </c>
      <c r="B311" s="2" t="s">
        <v>643</v>
      </c>
      <c r="C311" s="3">
        <v>45756</v>
      </c>
      <c r="D311" s="2" t="s">
        <v>69</v>
      </c>
      <c r="E311" s="2" t="s">
        <v>24</v>
      </c>
      <c r="G311" s="2">
        <v>59.52</v>
      </c>
      <c r="I311" s="2" t="s">
        <v>13</v>
      </c>
      <c r="J311" s="2" t="str">
        <f t="shared" si="8"/>
        <v>Apr</v>
      </c>
      <c r="K31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11" s="2" t="b">
        <v>1</v>
      </c>
      <c r="P311" s="2">
        <f t="shared" si="9"/>
        <v>992.16</v>
      </c>
    </row>
    <row r="312" spans="1:16" x14ac:dyDescent="0.35">
      <c r="A312" s="2" t="s">
        <v>644</v>
      </c>
      <c r="B312" s="2" t="s">
        <v>645</v>
      </c>
      <c r="C312" s="3">
        <v>45645</v>
      </c>
      <c r="D312" s="2" t="s">
        <v>27</v>
      </c>
      <c r="E312" s="2" t="s">
        <v>47</v>
      </c>
      <c r="F312" s="2">
        <v>8</v>
      </c>
      <c r="G312" s="2">
        <v>124.02</v>
      </c>
      <c r="H312" s="2">
        <v>992.16</v>
      </c>
      <c r="I312" s="2" t="s">
        <v>13</v>
      </c>
      <c r="J312" s="2" t="str">
        <f t="shared" si="8"/>
        <v>Dec</v>
      </c>
      <c r="K312" s="4">
        <f>IF(AND(ISNUMBER(Lab2_Dataset[[#This Row],[Revenue]]), ISNUMBER(Lab2_Dataset[[#This Row],[Quantity]]), Lab2_Dataset[[#This Row],[Quantity]]&lt;&gt;0), Lab2_Dataset[[#This Row],[Revenue]]/Lab2_Dataset[[#This Row],[Quantity]], "")</f>
        <v>124.02</v>
      </c>
      <c r="O312" s="2" t="b">
        <v>0</v>
      </c>
      <c r="P312" s="2">
        <f t="shared" si="9"/>
        <v>207.62</v>
      </c>
    </row>
    <row r="313" spans="1:16" x14ac:dyDescent="0.35">
      <c r="A313" s="2" t="s">
        <v>646</v>
      </c>
      <c r="B313" s="2" t="s">
        <v>647</v>
      </c>
      <c r="C313" s="3">
        <v>45176</v>
      </c>
      <c r="D313" s="2" t="s">
        <v>11</v>
      </c>
      <c r="E313" s="2" t="s">
        <v>28</v>
      </c>
      <c r="F313" s="2">
        <v>7</v>
      </c>
      <c r="G313" s="2">
        <v>29.66</v>
      </c>
      <c r="H313" s="2">
        <v>207.62</v>
      </c>
      <c r="I313" s="2" t="s">
        <v>17</v>
      </c>
      <c r="J313" s="2" t="str">
        <f t="shared" si="8"/>
        <v>Sep</v>
      </c>
      <c r="K313" s="4">
        <f>IF(AND(ISNUMBER(Lab2_Dataset[[#This Row],[Revenue]]), ISNUMBER(Lab2_Dataset[[#This Row],[Quantity]]), Lab2_Dataset[[#This Row],[Quantity]]&lt;&gt;0), Lab2_Dataset[[#This Row],[Revenue]]/Lab2_Dataset[[#This Row],[Quantity]], "")</f>
        <v>29.66</v>
      </c>
      <c r="O313" s="2" t="b">
        <v>0</v>
      </c>
      <c r="P313" s="2">
        <f t="shared" si="9"/>
        <v>1447.3799999999999</v>
      </c>
    </row>
    <row r="314" spans="1:16" x14ac:dyDescent="0.35">
      <c r="A314" s="2" t="s">
        <v>648</v>
      </c>
      <c r="B314" s="2" t="s">
        <v>649</v>
      </c>
      <c r="C314" s="3">
        <v>45635</v>
      </c>
      <c r="D314" s="2" t="s">
        <v>20</v>
      </c>
      <c r="E314" s="2" t="s">
        <v>24</v>
      </c>
      <c r="F314" s="2">
        <v>9</v>
      </c>
      <c r="G314" s="2">
        <v>160.82</v>
      </c>
      <c r="H314" s="2">
        <v>1447.38</v>
      </c>
      <c r="I314" s="2" t="s">
        <v>21</v>
      </c>
      <c r="J314" s="2" t="str">
        <f t="shared" si="8"/>
        <v>Dec</v>
      </c>
      <c r="K314" s="4">
        <f>IF(AND(ISNUMBER(Lab2_Dataset[[#This Row],[Revenue]]), ISNUMBER(Lab2_Dataset[[#This Row],[Quantity]]), Lab2_Dataset[[#This Row],[Quantity]]&lt;&gt;0), Lab2_Dataset[[#This Row],[Revenue]]/Lab2_Dataset[[#This Row],[Quantity]], "")</f>
        <v>160.82000000000002</v>
      </c>
      <c r="O314" s="2" t="b">
        <v>0</v>
      </c>
      <c r="P314" s="2" t="str">
        <f t="shared" si="9"/>
        <v/>
      </c>
    </row>
    <row r="315" spans="1:16" x14ac:dyDescent="0.35">
      <c r="A315" s="2" t="s">
        <v>650</v>
      </c>
      <c r="B315" s="2" t="s">
        <v>651</v>
      </c>
      <c r="C315" s="3">
        <v>45090</v>
      </c>
      <c r="D315" s="2" t="s">
        <v>69</v>
      </c>
      <c r="E315" s="2" t="s">
        <v>47</v>
      </c>
      <c r="G315" s="2">
        <v>30.65</v>
      </c>
      <c r="I315" s="2" t="s">
        <v>38</v>
      </c>
      <c r="J315" s="2" t="str">
        <f t="shared" si="8"/>
        <v>Jun</v>
      </c>
      <c r="K3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15" s="2" t="b">
        <v>1</v>
      </c>
      <c r="P315" s="2">
        <f t="shared" si="9"/>
        <v>146.88</v>
      </c>
    </row>
    <row r="316" spans="1:16" x14ac:dyDescent="0.35">
      <c r="A316" s="2" t="s">
        <v>652</v>
      </c>
      <c r="B316" s="2" t="s">
        <v>653</v>
      </c>
      <c r="C316" s="3">
        <v>45385</v>
      </c>
      <c r="D316" s="2" t="s">
        <v>11</v>
      </c>
      <c r="E316" s="2" t="s">
        <v>47</v>
      </c>
      <c r="F316" s="2">
        <v>4</v>
      </c>
      <c r="G316" s="2">
        <v>36.72</v>
      </c>
      <c r="H316" s="2">
        <v>146.88</v>
      </c>
      <c r="I316" s="2" t="s">
        <v>52</v>
      </c>
      <c r="J316" s="2" t="str">
        <f t="shared" si="8"/>
        <v>Apr</v>
      </c>
      <c r="K316" s="4">
        <f>IF(AND(ISNUMBER(Lab2_Dataset[[#This Row],[Revenue]]), ISNUMBER(Lab2_Dataset[[#This Row],[Quantity]]), Lab2_Dataset[[#This Row],[Quantity]]&lt;&gt;0), Lab2_Dataset[[#This Row],[Revenue]]/Lab2_Dataset[[#This Row],[Quantity]], "")</f>
        <v>36.72</v>
      </c>
      <c r="O316" s="2" t="b">
        <v>0</v>
      </c>
      <c r="P316" s="2">
        <f t="shared" si="9"/>
        <v>34.340000000000003</v>
      </c>
    </row>
    <row r="317" spans="1:16" x14ac:dyDescent="0.35">
      <c r="A317" s="2" t="s">
        <v>654</v>
      </c>
      <c r="B317" s="2" t="s">
        <v>655</v>
      </c>
      <c r="C317" s="3">
        <v>45774</v>
      </c>
      <c r="D317" s="2" t="s">
        <v>11</v>
      </c>
      <c r="E317" s="2" t="s">
        <v>28</v>
      </c>
      <c r="F317" s="2">
        <v>1</v>
      </c>
      <c r="G317" s="2">
        <v>34.340000000000003</v>
      </c>
      <c r="H317" s="2">
        <v>34.340000000000003</v>
      </c>
      <c r="I317" s="2" t="s">
        <v>21</v>
      </c>
      <c r="J317" s="2" t="str">
        <f t="shared" si="8"/>
        <v>Apr</v>
      </c>
      <c r="K317" s="4">
        <f>IF(AND(ISNUMBER(Lab2_Dataset[[#This Row],[Revenue]]), ISNUMBER(Lab2_Dataset[[#This Row],[Quantity]]), Lab2_Dataset[[#This Row],[Quantity]]&lt;&gt;0), Lab2_Dataset[[#This Row],[Revenue]]/Lab2_Dataset[[#This Row],[Quantity]], "")</f>
        <v>34.340000000000003</v>
      </c>
      <c r="O317" s="2" t="b">
        <v>0</v>
      </c>
      <c r="P317" s="2" t="str">
        <f t="shared" si="9"/>
        <v/>
      </c>
    </row>
    <row r="318" spans="1:16" x14ac:dyDescent="0.35">
      <c r="A318" s="2" t="s">
        <v>656</v>
      </c>
      <c r="B318" s="2" t="s">
        <v>657</v>
      </c>
      <c r="C318" s="3">
        <v>45204</v>
      </c>
      <c r="D318" s="2" t="s">
        <v>69</v>
      </c>
      <c r="E318" s="2" t="s">
        <v>47</v>
      </c>
      <c r="G318" s="2">
        <v>163.44999999999999</v>
      </c>
      <c r="I318" s="2" t="s">
        <v>17</v>
      </c>
      <c r="J318" s="2" t="str">
        <f t="shared" si="8"/>
        <v>Oct</v>
      </c>
      <c r="K31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18" s="2" t="b">
        <v>1</v>
      </c>
      <c r="P318" s="2" t="str">
        <f t="shared" si="9"/>
        <v/>
      </c>
    </row>
    <row r="319" spans="1:16" x14ac:dyDescent="0.35">
      <c r="A319" s="2" t="s">
        <v>658</v>
      </c>
      <c r="B319" s="2" t="s">
        <v>659</v>
      </c>
      <c r="C319" s="3">
        <v>45514</v>
      </c>
      <c r="D319" s="2" t="s">
        <v>11</v>
      </c>
      <c r="E319" s="2" t="s">
        <v>12</v>
      </c>
      <c r="G319" s="2">
        <v>40.630000000000003</v>
      </c>
      <c r="I319" s="2" t="s">
        <v>13</v>
      </c>
      <c r="J319" s="2" t="str">
        <f t="shared" si="8"/>
        <v>Aug</v>
      </c>
      <c r="K31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19" s="2" t="b">
        <v>1</v>
      </c>
      <c r="P319" s="2" t="str">
        <f t="shared" si="9"/>
        <v/>
      </c>
    </row>
    <row r="320" spans="1:16" x14ac:dyDescent="0.35">
      <c r="A320" s="2" t="s">
        <v>660</v>
      </c>
      <c r="B320" s="2" t="s">
        <v>661</v>
      </c>
      <c r="C320" s="3">
        <v>45731</v>
      </c>
      <c r="D320" s="2" t="s">
        <v>27</v>
      </c>
      <c r="E320" s="2" t="s">
        <v>24</v>
      </c>
      <c r="G320" s="2">
        <v>188.41</v>
      </c>
      <c r="I320" s="2" t="s">
        <v>17</v>
      </c>
      <c r="J320" s="2" t="str">
        <f t="shared" si="8"/>
        <v>Mar</v>
      </c>
      <c r="K3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0" s="2" t="b">
        <v>1</v>
      </c>
      <c r="P320" s="2" t="str">
        <f t="shared" si="9"/>
        <v/>
      </c>
    </row>
    <row r="321" spans="1:16" x14ac:dyDescent="0.35">
      <c r="A321" s="2" t="s">
        <v>662</v>
      </c>
      <c r="B321" s="2" t="s">
        <v>663</v>
      </c>
      <c r="C321" s="3">
        <v>45176</v>
      </c>
      <c r="D321" s="2" t="s">
        <v>37</v>
      </c>
      <c r="E321" s="2" t="s">
        <v>47</v>
      </c>
      <c r="G321" s="2">
        <v>10.08</v>
      </c>
      <c r="I321" s="2" t="s">
        <v>17</v>
      </c>
      <c r="J321" s="2" t="str">
        <f t="shared" si="8"/>
        <v>Sep</v>
      </c>
      <c r="K32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1" s="2" t="b">
        <v>1</v>
      </c>
      <c r="P321" s="2" t="str">
        <f t="shared" si="9"/>
        <v/>
      </c>
    </row>
    <row r="322" spans="1:16" x14ac:dyDescent="0.35">
      <c r="A322" s="2" t="s">
        <v>664</v>
      </c>
      <c r="B322" s="2" t="s">
        <v>665</v>
      </c>
      <c r="C322" s="3">
        <v>45278</v>
      </c>
      <c r="D322" s="2" t="s">
        <v>69</v>
      </c>
      <c r="E322" s="2" t="s">
        <v>12</v>
      </c>
      <c r="G322" s="2">
        <v>180.26</v>
      </c>
      <c r="I322" s="2" t="s">
        <v>31</v>
      </c>
      <c r="J322" s="2" t="str">
        <f t="shared" ref="J322:J385" si="10">TEXT(C322,"mmm")</f>
        <v>Dec</v>
      </c>
      <c r="K3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2" s="2" t="b">
        <v>1</v>
      </c>
      <c r="P322" s="2" t="str">
        <f t="shared" si="9"/>
        <v/>
      </c>
    </row>
    <row r="323" spans="1:16" x14ac:dyDescent="0.35">
      <c r="A323" s="2" t="s">
        <v>666</v>
      </c>
      <c r="B323" s="2" t="s">
        <v>667</v>
      </c>
      <c r="C323" s="3">
        <v>45391</v>
      </c>
      <c r="D323" s="2" t="s">
        <v>69</v>
      </c>
      <c r="E323" s="2" t="s">
        <v>12</v>
      </c>
      <c r="G323" s="2">
        <v>138.07</v>
      </c>
      <c r="I323" s="2" t="s">
        <v>17</v>
      </c>
      <c r="J323" s="2" t="str">
        <f t="shared" si="10"/>
        <v>Apr</v>
      </c>
      <c r="K32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3" s="2" t="b">
        <v>1</v>
      </c>
      <c r="P323" s="2" t="str">
        <f t="shared" ref="P323:P386" si="11">IF(O324=TRUE,"",F324*G324)</f>
        <v/>
      </c>
    </row>
    <row r="324" spans="1:16" x14ac:dyDescent="0.35">
      <c r="A324" s="2" t="s">
        <v>668</v>
      </c>
      <c r="B324" s="2" t="s">
        <v>669</v>
      </c>
      <c r="C324" s="3">
        <v>45348</v>
      </c>
      <c r="D324" s="2" t="s">
        <v>27</v>
      </c>
      <c r="E324" s="2" t="s">
        <v>47</v>
      </c>
      <c r="G324" s="2">
        <v>166.79</v>
      </c>
      <c r="I324" s="2" t="s">
        <v>17</v>
      </c>
      <c r="J324" s="2" t="str">
        <f t="shared" si="10"/>
        <v>Feb</v>
      </c>
      <c r="K3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4" s="2" t="b">
        <v>1</v>
      </c>
      <c r="P324" s="2" t="str">
        <f t="shared" si="11"/>
        <v/>
      </c>
    </row>
    <row r="325" spans="1:16" x14ac:dyDescent="0.35">
      <c r="A325" s="2" t="s">
        <v>670</v>
      </c>
      <c r="B325" s="2" t="s">
        <v>671</v>
      </c>
      <c r="C325" s="3">
        <v>45125</v>
      </c>
      <c r="D325" s="2" t="s">
        <v>20</v>
      </c>
      <c r="E325" s="2" t="s">
        <v>47</v>
      </c>
      <c r="G325" s="2">
        <v>10.55</v>
      </c>
      <c r="I325" s="2" t="s">
        <v>38</v>
      </c>
      <c r="J325" s="2" t="str">
        <f t="shared" si="10"/>
        <v>Jul</v>
      </c>
      <c r="K3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5" s="2" t="b">
        <v>1</v>
      </c>
      <c r="P325" s="2" t="str">
        <f t="shared" si="11"/>
        <v/>
      </c>
    </row>
    <row r="326" spans="1:16" x14ac:dyDescent="0.35">
      <c r="A326" s="2" t="s">
        <v>672</v>
      </c>
      <c r="B326" s="2" t="s">
        <v>673</v>
      </c>
      <c r="C326" s="3">
        <v>45604</v>
      </c>
      <c r="D326" s="2" t="s">
        <v>34</v>
      </c>
      <c r="E326" s="2" t="s">
        <v>24</v>
      </c>
      <c r="G326" s="2">
        <v>108.94</v>
      </c>
      <c r="I326" s="2" t="s">
        <v>21</v>
      </c>
      <c r="J326" s="2" t="str">
        <f t="shared" si="10"/>
        <v>Nov</v>
      </c>
      <c r="K32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6" s="2" t="b">
        <v>1</v>
      </c>
      <c r="P326" s="2">
        <f t="shared" si="11"/>
        <v>1101.9000000000001</v>
      </c>
    </row>
    <row r="327" spans="1:16" x14ac:dyDescent="0.35">
      <c r="A327" s="2" t="s">
        <v>674</v>
      </c>
      <c r="B327" s="2" t="s">
        <v>675</v>
      </c>
      <c r="C327" s="3">
        <v>45290</v>
      </c>
      <c r="D327" s="2" t="s">
        <v>27</v>
      </c>
      <c r="E327" s="2" t="s">
        <v>28</v>
      </c>
      <c r="F327" s="2">
        <v>6</v>
      </c>
      <c r="G327" s="2">
        <v>183.65</v>
      </c>
      <c r="H327" s="2">
        <v>1101.9000000000001</v>
      </c>
      <c r="I327" s="2" t="s">
        <v>38</v>
      </c>
      <c r="J327" s="2" t="str">
        <f t="shared" si="10"/>
        <v>Dec</v>
      </c>
      <c r="K327" s="4">
        <f>IF(AND(ISNUMBER(Lab2_Dataset[[#This Row],[Revenue]]), ISNUMBER(Lab2_Dataset[[#This Row],[Quantity]]), Lab2_Dataset[[#This Row],[Quantity]]&lt;&gt;0), Lab2_Dataset[[#This Row],[Revenue]]/Lab2_Dataset[[#This Row],[Quantity]], "")</f>
        <v>183.65</v>
      </c>
      <c r="O327" s="2" t="b">
        <v>0</v>
      </c>
      <c r="P327" s="2">
        <f t="shared" si="11"/>
        <v>528.54</v>
      </c>
    </row>
    <row r="328" spans="1:16" x14ac:dyDescent="0.35">
      <c r="A328" s="2" t="s">
        <v>676</v>
      </c>
      <c r="B328" s="2" t="s">
        <v>677</v>
      </c>
      <c r="C328" s="3">
        <v>45147</v>
      </c>
      <c r="D328" s="2" t="s">
        <v>37</v>
      </c>
      <c r="E328" s="2" t="s">
        <v>28</v>
      </c>
      <c r="F328" s="2">
        <v>6</v>
      </c>
      <c r="G328" s="2">
        <v>88.09</v>
      </c>
      <c r="H328" s="2">
        <v>528.54</v>
      </c>
      <c r="I328" s="2" t="s">
        <v>31</v>
      </c>
      <c r="J328" s="2" t="str">
        <f t="shared" si="10"/>
        <v>Aug</v>
      </c>
      <c r="K328" s="4">
        <f>IF(AND(ISNUMBER(Lab2_Dataset[[#This Row],[Revenue]]), ISNUMBER(Lab2_Dataset[[#This Row],[Quantity]]), Lab2_Dataset[[#This Row],[Quantity]]&lt;&gt;0), Lab2_Dataset[[#This Row],[Revenue]]/Lab2_Dataset[[#This Row],[Quantity]], "")</f>
        <v>88.089999999999989</v>
      </c>
      <c r="O328" s="2" t="b">
        <v>0</v>
      </c>
      <c r="P328" s="2" t="str">
        <f t="shared" si="11"/>
        <v/>
      </c>
    </row>
    <row r="329" spans="1:16" x14ac:dyDescent="0.35">
      <c r="A329" s="2" t="s">
        <v>678</v>
      </c>
      <c r="B329" s="2" t="s">
        <v>679</v>
      </c>
      <c r="C329" s="3">
        <v>45200</v>
      </c>
      <c r="D329" s="2" t="s">
        <v>69</v>
      </c>
      <c r="E329" s="2" t="s">
        <v>28</v>
      </c>
      <c r="G329" s="2">
        <v>37.9</v>
      </c>
      <c r="I329" s="2" t="s">
        <v>52</v>
      </c>
      <c r="J329" s="2" t="str">
        <f t="shared" si="10"/>
        <v>Oct</v>
      </c>
      <c r="K3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29" s="2" t="b">
        <v>1</v>
      </c>
      <c r="P329" s="2">
        <f t="shared" si="11"/>
        <v>569.84</v>
      </c>
    </row>
    <row r="330" spans="1:16" x14ac:dyDescent="0.35">
      <c r="A330" s="2" t="s">
        <v>680</v>
      </c>
      <c r="B330" s="2" t="s">
        <v>681</v>
      </c>
      <c r="C330" s="3">
        <v>45754</v>
      </c>
      <c r="D330" s="2" t="s">
        <v>69</v>
      </c>
      <c r="E330" s="2" t="s">
        <v>24</v>
      </c>
      <c r="F330" s="2">
        <v>4</v>
      </c>
      <c r="G330" s="2">
        <v>142.46</v>
      </c>
      <c r="H330" s="2">
        <v>569.84</v>
      </c>
      <c r="I330" s="2" t="s">
        <v>31</v>
      </c>
      <c r="J330" s="2" t="str">
        <f t="shared" si="10"/>
        <v>Apr</v>
      </c>
      <c r="K330" s="4">
        <f>IF(AND(ISNUMBER(Lab2_Dataset[[#This Row],[Revenue]]), ISNUMBER(Lab2_Dataset[[#This Row],[Quantity]]), Lab2_Dataset[[#This Row],[Quantity]]&lt;&gt;0), Lab2_Dataset[[#This Row],[Revenue]]/Lab2_Dataset[[#This Row],[Quantity]], "")</f>
        <v>142.46</v>
      </c>
      <c r="O330" s="2" t="b">
        <v>0</v>
      </c>
      <c r="P330" s="2">
        <f t="shared" si="11"/>
        <v>508.86</v>
      </c>
    </row>
    <row r="331" spans="1:16" x14ac:dyDescent="0.35">
      <c r="A331" s="2" t="s">
        <v>682</v>
      </c>
      <c r="B331" s="2" t="s">
        <v>683</v>
      </c>
      <c r="C331" s="3">
        <v>45225</v>
      </c>
      <c r="D331" s="2" t="s">
        <v>69</v>
      </c>
      <c r="E331" s="2" t="s">
        <v>24</v>
      </c>
      <c r="F331" s="2">
        <v>6</v>
      </c>
      <c r="G331" s="2">
        <v>84.81</v>
      </c>
      <c r="I331" s="2" t="s">
        <v>31</v>
      </c>
      <c r="J331" s="2" t="str">
        <f t="shared" si="10"/>
        <v>Oct</v>
      </c>
      <c r="K3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1" s="2" t="b">
        <v>0</v>
      </c>
      <c r="P331" s="2" t="str">
        <f t="shared" si="11"/>
        <v/>
      </c>
    </row>
    <row r="332" spans="1:16" x14ac:dyDescent="0.35">
      <c r="A332" s="2" t="s">
        <v>684</v>
      </c>
      <c r="B332" s="2" t="s">
        <v>685</v>
      </c>
      <c r="C332" s="3">
        <v>45612</v>
      </c>
      <c r="D332" s="2" t="s">
        <v>69</v>
      </c>
      <c r="E332" s="2" t="s">
        <v>24</v>
      </c>
      <c r="G332" s="2">
        <v>160.4</v>
      </c>
      <c r="I332" s="2" t="s">
        <v>21</v>
      </c>
      <c r="J332" s="2" t="str">
        <f t="shared" si="10"/>
        <v>Nov</v>
      </c>
      <c r="K3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2" s="2" t="b">
        <v>1</v>
      </c>
      <c r="P332" s="2" t="str">
        <f t="shared" si="11"/>
        <v/>
      </c>
    </row>
    <row r="333" spans="1:16" x14ac:dyDescent="0.35">
      <c r="A333" s="2" t="s">
        <v>686</v>
      </c>
      <c r="B333" s="2" t="s">
        <v>687</v>
      </c>
      <c r="C333" s="3">
        <v>45709</v>
      </c>
      <c r="D333" s="2" t="s">
        <v>34</v>
      </c>
      <c r="E333" s="2" t="s">
        <v>24</v>
      </c>
      <c r="G333" s="2">
        <v>60.73</v>
      </c>
      <c r="I333" s="2" t="s">
        <v>38</v>
      </c>
      <c r="J333" s="2" t="str">
        <f t="shared" si="10"/>
        <v>Feb</v>
      </c>
      <c r="K3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3" s="2" t="b">
        <v>1</v>
      </c>
      <c r="P333" s="2">
        <f t="shared" si="11"/>
        <v>149.18</v>
      </c>
    </row>
    <row r="334" spans="1:16" x14ac:dyDescent="0.35">
      <c r="A334" s="2" t="s">
        <v>688</v>
      </c>
      <c r="B334" s="2" t="s">
        <v>689</v>
      </c>
      <c r="C334" s="3">
        <v>45494</v>
      </c>
      <c r="D334" s="2" t="s">
        <v>11</v>
      </c>
      <c r="E334" s="2" t="s">
        <v>16</v>
      </c>
      <c r="F334" s="2">
        <v>1</v>
      </c>
      <c r="G334" s="2">
        <v>149.18</v>
      </c>
      <c r="H334" s="2">
        <v>149.18</v>
      </c>
      <c r="I334" s="2" t="s">
        <v>21</v>
      </c>
      <c r="J334" s="2" t="str">
        <f t="shared" si="10"/>
        <v>Jul</v>
      </c>
      <c r="K334" s="4">
        <f>IF(AND(ISNUMBER(Lab2_Dataset[[#This Row],[Revenue]]), ISNUMBER(Lab2_Dataset[[#This Row],[Quantity]]), Lab2_Dataset[[#This Row],[Quantity]]&lt;&gt;0), Lab2_Dataset[[#This Row],[Revenue]]/Lab2_Dataset[[#This Row],[Quantity]], "")</f>
        <v>149.18</v>
      </c>
      <c r="O334" s="2" t="b">
        <v>0</v>
      </c>
      <c r="P334" s="2" t="str">
        <f t="shared" si="11"/>
        <v/>
      </c>
    </row>
    <row r="335" spans="1:16" x14ac:dyDescent="0.35">
      <c r="A335" s="2" t="s">
        <v>690</v>
      </c>
      <c r="B335" s="2" t="s">
        <v>691</v>
      </c>
      <c r="C335" s="3">
        <v>45778</v>
      </c>
      <c r="D335" s="2" t="s">
        <v>69</v>
      </c>
      <c r="E335" s="2" t="s">
        <v>12</v>
      </c>
      <c r="G335" s="2">
        <v>31.38</v>
      </c>
      <c r="I335" s="2" t="s">
        <v>17</v>
      </c>
      <c r="J335" s="2" t="str">
        <f t="shared" si="10"/>
        <v>May</v>
      </c>
      <c r="K3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5" s="2" t="b">
        <v>1</v>
      </c>
      <c r="P335" s="2">
        <f t="shared" si="11"/>
        <v>839.9</v>
      </c>
    </row>
    <row r="336" spans="1:16" x14ac:dyDescent="0.35">
      <c r="A336" s="2" t="s">
        <v>692</v>
      </c>
      <c r="B336" s="2" t="s">
        <v>693</v>
      </c>
      <c r="C336" s="3">
        <v>45290</v>
      </c>
      <c r="D336" s="2" t="s">
        <v>20</v>
      </c>
      <c r="E336" s="2" t="s">
        <v>28</v>
      </c>
      <c r="F336" s="2">
        <v>5</v>
      </c>
      <c r="G336" s="2">
        <v>167.98</v>
      </c>
      <c r="H336" s="2">
        <v>839.9</v>
      </c>
      <c r="I336" s="2" t="s">
        <v>38</v>
      </c>
      <c r="J336" s="2" t="str">
        <f t="shared" si="10"/>
        <v>Dec</v>
      </c>
      <c r="K336" s="4">
        <f>IF(AND(ISNUMBER(Lab2_Dataset[[#This Row],[Revenue]]), ISNUMBER(Lab2_Dataset[[#This Row],[Quantity]]), Lab2_Dataset[[#This Row],[Quantity]]&lt;&gt;0), Lab2_Dataset[[#This Row],[Revenue]]/Lab2_Dataset[[#This Row],[Quantity]], "")</f>
        <v>167.98</v>
      </c>
      <c r="O336" s="2" t="b">
        <v>0</v>
      </c>
      <c r="P336" s="2" t="str">
        <f t="shared" si="11"/>
        <v/>
      </c>
    </row>
    <row r="337" spans="1:16" x14ac:dyDescent="0.35">
      <c r="A337" s="2" t="s">
        <v>694</v>
      </c>
      <c r="B337" s="2" t="s">
        <v>695</v>
      </c>
      <c r="C337" s="3">
        <v>45319</v>
      </c>
      <c r="D337" s="2" t="s">
        <v>20</v>
      </c>
      <c r="E337" s="2" t="s">
        <v>12</v>
      </c>
      <c r="G337" s="2">
        <v>20.6</v>
      </c>
      <c r="I337" s="2" t="s">
        <v>13</v>
      </c>
      <c r="J337" s="2" t="str">
        <f t="shared" si="10"/>
        <v>Jan</v>
      </c>
      <c r="K3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37" s="2" t="b">
        <v>1</v>
      </c>
      <c r="P337" s="2">
        <f t="shared" si="11"/>
        <v>948.78</v>
      </c>
    </row>
    <row r="338" spans="1:16" x14ac:dyDescent="0.35">
      <c r="A338" s="2" t="s">
        <v>696</v>
      </c>
      <c r="B338" s="2" t="s">
        <v>697</v>
      </c>
      <c r="C338" s="3">
        <v>45640</v>
      </c>
      <c r="D338" s="2" t="s">
        <v>20</v>
      </c>
      <c r="E338" s="2" t="s">
        <v>24</v>
      </c>
      <c r="F338" s="2">
        <v>7</v>
      </c>
      <c r="G338" s="2">
        <v>135.54</v>
      </c>
      <c r="H338" s="2">
        <v>948.78</v>
      </c>
      <c r="I338" s="2" t="s">
        <v>31</v>
      </c>
      <c r="J338" s="2" t="str">
        <f t="shared" si="10"/>
        <v>Dec</v>
      </c>
      <c r="K338" s="4">
        <f>IF(AND(ISNUMBER(Lab2_Dataset[[#This Row],[Revenue]]), ISNUMBER(Lab2_Dataset[[#This Row],[Quantity]]), Lab2_Dataset[[#This Row],[Quantity]]&lt;&gt;0), Lab2_Dataset[[#This Row],[Revenue]]/Lab2_Dataset[[#This Row],[Quantity]], "")</f>
        <v>135.54</v>
      </c>
      <c r="O338" s="2" t="b">
        <v>0</v>
      </c>
      <c r="P338" s="2">
        <f t="shared" si="11"/>
        <v>434.28</v>
      </c>
    </row>
    <row r="339" spans="1:16" x14ac:dyDescent="0.35">
      <c r="A339" s="2" t="s">
        <v>698</v>
      </c>
      <c r="B339" s="2" t="s">
        <v>699</v>
      </c>
      <c r="C339" s="3">
        <v>45396</v>
      </c>
      <c r="D339" s="2" t="s">
        <v>37</v>
      </c>
      <c r="E339" s="2" t="s">
        <v>12</v>
      </c>
      <c r="F339" s="2">
        <v>4</v>
      </c>
      <c r="G339" s="2">
        <v>108.57</v>
      </c>
      <c r="H339" s="2">
        <v>434.28</v>
      </c>
      <c r="I339" s="2" t="s">
        <v>31</v>
      </c>
      <c r="J339" s="2" t="str">
        <f t="shared" si="10"/>
        <v>Apr</v>
      </c>
      <c r="K339" s="4">
        <f>IF(AND(ISNUMBER(Lab2_Dataset[[#This Row],[Revenue]]), ISNUMBER(Lab2_Dataset[[#This Row],[Quantity]]), Lab2_Dataset[[#This Row],[Quantity]]&lt;&gt;0), Lab2_Dataset[[#This Row],[Revenue]]/Lab2_Dataset[[#This Row],[Quantity]], "")</f>
        <v>108.57</v>
      </c>
      <c r="O339" s="2" t="b">
        <v>0</v>
      </c>
      <c r="P339" s="2">
        <f t="shared" si="11"/>
        <v>895.68000000000006</v>
      </c>
    </row>
    <row r="340" spans="1:16" x14ac:dyDescent="0.35">
      <c r="A340" s="2" t="s">
        <v>700</v>
      </c>
      <c r="B340" s="2" t="s">
        <v>701</v>
      </c>
      <c r="C340" s="3">
        <v>45778</v>
      </c>
      <c r="D340" s="2" t="s">
        <v>34</v>
      </c>
      <c r="E340" s="2" t="s">
        <v>24</v>
      </c>
      <c r="F340" s="2">
        <v>6</v>
      </c>
      <c r="G340" s="2">
        <v>149.28</v>
      </c>
      <c r="H340" s="2">
        <v>895.68</v>
      </c>
      <c r="I340" s="2" t="s">
        <v>31</v>
      </c>
      <c r="J340" s="2" t="str">
        <f t="shared" si="10"/>
        <v>May</v>
      </c>
      <c r="K340" s="4">
        <f>IF(AND(ISNUMBER(Lab2_Dataset[[#This Row],[Revenue]]), ISNUMBER(Lab2_Dataset[[#This Row],[Quantity]]), Lab2_Dataset[[#This Row],[Quantity]]&lt;&gt;0), Lab2_Dataset[[#This Row],[Revenue]]/Lab2_Dataset[[#This Row],[Quantity]], "")</f>
        <v>149.28</v>
      </c>
      <c r="O340" s="2" t="b">
        <v>0</v>
      </c>
      <c r="P340" s="2" t="str">
        <f t="shared" si="11"/>
        <v/>
      </c>
    </row>
    <row r="341" spans="1:16" x14ac:dyDescent="0.35">
      <c r="A341" s="2" t="s">
        <v>702</v>
      </c>
      <c r="B341" s="2" t="s">
        <v>703</v>
      </c>
      <c r="C341" s="3">
        <v>45310</v>
      </c>
      <c r="D341" s="2" t="s">
        <v>11</v>
      </c>
      <c r="E341" s="2" t="s">
        <v>24</v>
      </c>
      <c r="G341" s="2">
        <v>141.05000000000001</v>
      </c>
      <c r="I341" s="2" t="s">
        <v>17</v>
      </c>
      <c r="J341" s="2" t="str">
        <f t="shared" si="10"/>
        <v>Jan</v>
      </c>
      <c r="K34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1" s="2" t="b">
        <v>1</v>
      </c>
      <c r="P341" s="2" t="str">
        <f t="shared" si="11"/>
        <v/>
      </c>
    </row>
    <row r="342" spans="1:16" x14ac:dyDescent="0.35">
      <c r="A342" s="2" t="s">
        <v>704</v>
      </c>
      <c r="B342" s="2" t="s">
        <v>705</v>
      </c>
      <c r="C342" s="3">
        <v>45562</v>
      </c>
      <c r="D342" s="2" t="s">
        <v>20</v>
      </c>
      <c r="E342" s="2" t="s">
        <v>24</v>
      </c>
      <c r="G342" s="2">
        <v>97.67</v>
      </c>
      <c r="I342" s="2" t="s">
        <v>21</v>
      </c>
      <c r="J342" s="2" t="str">
        <f t="shared" si="10"/>
        <v>Sep</v>
      </c>
      <c r="K3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2" s="2" t="b">
        <v>1</v>
      </c>
      <c r="P342" s="2" t="str">
        <f t="shared" si="11"/>
        <v/>
      </c>
    </row>
    <row r="343" spans="1:16" x14ac:dyDescent="0.35">
      <c r="A343" s="2" t="s">
        <v>706</v>
      </c>
      <c r="B343" s="2" t="s">
        <v>707</v>
      </c>
      <c r="C343" s="3">
        <v>45126</v>
      </c>
      <c r="D343" s="2" t="s">
        <v>11</v>
      </c>
      <c r="E343" s="2" t="s">
        <v>28</v>
      </c>
      <c r="G343" s="2">
        <v>125.53</v>
      </c>
      <c r="I343" s="2" t="s">
        <v>31</v>
      </c>
      <c r="J343" s="2" t="str">
        <f t="shared" si="10"/>
        <v>Jul</v>
      </c>
      <c r="K3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3" s="2" t="b">
        <v>1</v>
      </c>
      <c r="P343" s="2" t="str">
        <f t="shared" si="11"/>
        <v/>
      </c>
    </row>
    <row r="344" spans="1:16" x14ac:dyDescent="0.35">
      <c r="A344" s="2" t="s">
        <v>708</v>
      </c>
      <c r="B344" s="2" t="s">
        <v>709</v>
      </c>
      <c r="C344" s="3">
        <v>45593</v>
      </c>
      <c r="D344" s="2" t="s">
        <v>11</v>
      </c>
      <c r="E344" s="2" t="s">
        <v>28</v>
      </c>
      <c r="G344" s="2">
        <v>150.18</v>
      </c>
      <c r="I344" s="2" t="s">
        <v>31</v>
      </c>
      <c r="J344" s="2" t="str">
        <f t="shared" si="10"/>
        <v>Oct</v>
      </c>
      <c r="K3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4" s="2" t="b">
        <v>1</v>
      </c>
      <c r="P344" s="2">
        <f t="shared" si="11"/>
        <v>570.20000000000005</v>
      </c>
    </row>
    <row r="345" spans="1:16" x14ac:dyDescent="0.35">
      <c r="A345" s="2" t="s">
        <v>710</v>
      </c>
      <c r="B345" s="2" t="s">
        <v>711</v>
      </c>
      <c r="C345" s="3">
        <v>45499</v>
      </c>
      <c r="D345" s="2" t="s">
        <v>20</v>
      </c>
      <c r="E345" s="2" t="s">
        <v>16</v>
      </c>
      <c r="F345" s="2">
        <v>4</v>
      </c>
      <c r="G345" s="2">
        <v>142.55000000000001</v>
      </c>
      <c r="H345" s="2">
        <v>570.20000000000005</v>
      </c>
      <c r="I345" s="2" t="s">
        <v>38</v>
      </c>
      <c r="J345" s="2" t="str">
        <f t="shared" si="10"/>
        <v>Jul</v>
      </c>
      <c r="K345" s="4">
        <f>IF(AND(ISNUMBER(Lab2_Dataset[[#This Row],[Revenue]]), ISNUMBER(Lab2_Dataset[[#This Row],[Quantity]]), Lab2_Dataset[[#This Row],[Quantity]]&lt;&gt;0), Lab2_Dataset[[#This Row],[Revenue]]/Lab2_Dataset[[#This Row],[Quantity]], "")</f>
        <v>142.55000000000001</v>
      </c>
      <c r="O345" s="2" t="b">
        <v>0</v>
      </c>
      <c r="P345" s="2" t="str">
        <f t="shared" si="11"/>
        <v/>
      </c>
    </row>
    <row r="346" spans="1:16" x14ac:dyDescent="0.35">
      <c r="A346" s="2" t="s">
        <v>712</v>
      </c>
      <c r="B346" s="2" t="s">
        <v>713</v>
      </c>
      <c r="C346" s="3">
        <v>45061</v>
      </c>
      <c r="D346" s="2" t="s">
        <v>27</v>
      </c>
      <c r="E346" s="2" t="s">
        <v>47</v>
      </c>
      <c r="G346" s="2">
        <v>69.400000000000006</v>
      </c>
      <c r="I346" s="2" t="s">
        <v>21</v>
      </c>
      <c r="J346" s="2" t="str">
        <f t="shared" si="10"/>
        <v>May</v>
      </c>
      <c r="K34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46" s="2" t="b">
        <v>1</v>
      </c>
      <c r="P346" s="2">
        <f t="shared" si="11"/>
        <v>592.08000000000004</v>
      </c>
    </row>
    <row r="347" spans="1:16" x14ac:dyDescent="0.35">
      <c r="A347" s="2" t="s">
        <v>714</v>
      </c>
      <c r="B347" s="2" t="s">
        <v>715</v>
      </c>
      <c r="C347" s="3">
        <v>45741</v>
      </c>
      <c r="D347" s="2" t="s">
        <v>20</v>
      </c>
      <c r="E347" s="2" t="s">
        <v>16</v>
      </c>
      <c r="F347" s="2">
        <v>3</v>
      </c>
      <c r="G347" s="2">
        <v>197.36</v>
      </c>
      <c r="H347" s="2">
        <v>592.08000000000004</v>
      </c>
      <c r="I347" s="2" t="s">
        <v>21</v>
      </c>
      <c r="J347" s="2" t="str">
        <f t="shared" si="10"/>
        <v>Mar</v>
      </c>
      <c r="K347" s="4">
        <f>IF(AND(ISNUMBER(Lab2_Dataset[[#This Row],[Revenue]]), ISNUMBER(Lab2_Dataset[[#This Row],[Quantity]]), Lab2_Dataset[[#This Row],[Quantity]]&lt;&gt;0), Lab2_Dataset[[#This Row],[Revenue]]/Lab2_Dataset[[#This Row],[Quantity]], "")</f>
        <v>197.36</v>
      </c>
      <c r="O347" s="2" t="b">
        <v>0</v>
      </c>
      <c r="P347" s="2">
        <f t="shared" si="11"/>
        <v>113.97</v>
      </c>
    </row>
    <row r="348" spans="1:16" x14ac:dyDescent="0.35">
      <c r="A348" s="2" t="s">
        <v>716</v>
      </c>
      <c r="B348" s="2" t="s">
        <v>717</v>
      </c>
      <c r="C348" s="3">
        <v>45246</v>
      </c>
      <c r="D348" s="2" t="s">
        <v>27</v>
      </c>
      <c r="E348" s="2" t="s">
        <v>24</v>
      </c>
      <c r="F348" s="2">
        <v>1</v>
      </c>
      <c r="G348" s="2">
        <v>113.97</v>
      </c>
      <c r="H348" s="2">
        <v>113.97</v>
      </c>
      <c r="I348" s="2" t="s">
        <v>38</v>
      </c>
      <c r="J348" s="2" t="str">
        <f t="shared" si="10"/>
        <v>Nov</v>
      </c>
      <c r="K348" s="4">
        <f>IF(AND(ISNUMBER(Lab2_Dataset[[#This Row],[Revenue]]), ISNUMBER(Lab2_Dataset[[#This Row],[Quantity]]), Lab2_Dataset[[#This Row],[Quantity]]&lt;&gt;0), Lab2_Dataset[[#This Row],[Revenue]]/Lab2_Dataset[[#This Row],[Quantity]], "")</f>
        <v>113.97</v>
      </c>
      <c r="O348" s="2" t="b">
        <v>0</v>
      </c>
      <c r="P348" s="2">
        <f t="shared" si="11"/>
        <v>1441.68</v>
      </c>
    </row>
    <row r="349" spans="1:16" x14ac:dyDescent="0.35">
      <c r="A349" s="2" t="s">
        <v>718</v>
      </c>
      <c r="B349" s="2" t="s">
        <v>719</v>
      </c>
      <c r="C349" s="3">
        <v>45238</v>
      </c>
      <c r="D349" s="2" t="s">
        <v>37</v>
      </c>
      <c r="E349" s="2" t="s">
        <v>16</v>
      </c>
      <c r="F349" s="2">
        <v>8</v>
      </c>
      <c r="G349" s="2">
        <v>180.21</v>
      </c>
      <c r="H349" s="2">
        <v>1441.68</v>
      </c>
      <c r="I349" s="2" t="s">
        <v>13</v>
      </c>
      <c r="J349" s="2" t="str">
        <f t="shared" si="10"/>
        <v>Nov</v>
      </c>
      <c r="K349" s="4">
        <f>IF(AND(ISNUMBER(Lab2_Dataset[[#This Row],[Revenue]]), ISNUMBER(Lab2_Dataset[[#This Row],[Quantity]]), Lab2_Dataset[[#This Row],[Quantity]]&lt;&gt;0), Lab2_Dataset[[#This Row],[Revenue]]/Lab2_Dataset[[#This Row],[Quantity]], "")</f>
        <v>180.21</v>
      </c>
      <c r="O349" s="2" t="b">
        <v>0</v>
      </c>
      <c r="P349" s="2" t="str">
        <f t="shared" si="11"/>
        <v/>
      </c>
    </row>
    <row r="350" spans="1:16" x14ac:dyDescent="0.35">
      <c r="A350" s="2" t="s">
        <v>720</v>
      </c>
      <c r="B350" s="2" t="s">
        <v>721</v>
      </c>
      <c r="C350" s="3">
        <v>45061</v>
      </c>
      <c r="D350" s="2" t="s">
        <v>69</v>
      </c>
      <c r="E350" s="2" t="s">
        <v>28</v>
      </c>
      <c r="G350" s="2">
        <v>38.840000000000003</v>
      </c>
      <c r="I350" s="2" t="s">
        <v>21</v>
      </c>
      <c r="J350" s="2" t="str">
        <f t="shared" si="10"/>
        <v>May</v>
      </c>
      <c r="K35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50" s="2" t="b">
        <v>1</v>
      </c>
      <c r="P350" s="2">
        <f t="shared" si="11"/>
        <v>722.19</v>
      </c>
    </row>
    <row r="351" spans="1:16" x14ac:dyDescent="0.35">
      <c r="A351" s="2" t="s">
        <v>722</v>
      </c>
      <c r="B351" s="2" t="s">
        <v>723</v>
      </c>
      <c r="C351" s="3">
        <v>45124</v>
      </c>
      <c r="D351" s="2" t="s">
        <v>37</v>
      </c>
      <c r="E351" s="2" t="s">
        <v>12</v>
      </c>
      <c r="F351" s="2">
        <v>7</v>
      </c>
      <c r="G351" s="2">
        <v>103.17</v>
      </c>
      <c r="H351" s="2">
        <v>722.19</v>
      </c>
      <c r="I351" s="2" t="s">
        <v>52</v>
      </c>
      <c r="J351" s="2" t="str">
        <f t="shared" si="10"/>
        <v>Jul</v>
      </c>
      <c r="K351" s="4">
        <f>IF(AND(ISNUMBER(Lab2_Dataset[[#This Row],[Revenue]]), ISNUMBER(Lab2_Dataset[[#This Row],[Quantity]]), Lab2_Dataset[[#This Row],[Quantity]]&lt;&gt;0), Lab2_Dataset[[#This Row],[Revenue]]/Lab2_Dataset[[#This Row],[Quantity]], "")</f>
        <v>103.17</v>
      </c>
      <c r="O351" s="2" t="b">
        <v>0</v>
      </c>
      <c r="P351" s="2" t="str">
        <f t="shared" si="11"/>
        <v/>
      </c>
    </row>
    <row r="352" spans="1:16" x14ac:dyDescent="0.35">
      <c r="A352" s="2" t="s">
        <v>724</v>
      </c>
      <c r="B352" s="2" t="s">
        <v>725</v>
      </c>
      <c r="C352" s="3">
        <v>45151</v>
      </c>
      <c r="D352" s="2" t="s">
        <v>69</v>
      </c>
      <c r="E352" s="2" t="s">
        <v>12</v>
      </c>
      <c r="G352" s="2">
        <v>175.22</v>
      </c>
      <c r="I352" s="2" t="s">
        <v>38</v>
      </c>
      <c r="J352" s="2" t="str">
        <f t="shared" si="10"/>
        <v>Aug</v>
      </c>
      <c r="K3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52" s="2" t="b">
        <v>1</v>
      </c>
      <c r="P352" s="2" t="str">
        <f t="shared" si="11"/>
        <v/>
      </c>
    </row>
    <row r="353" spans="1:16" x14ac:dyDescent="0.35">
      <c r="A353" s="2" t="s">
        <v>726</v>
      </c>
      <c r="B353" s="2" t="s">
        <v>727</v>
      </c>
      <c r="C353" s="3">
        <v>45257</v>
      </c>
      <c r="D353" s="2" t="s">
        <v>37</v>
      </c>
      <c r="E353" s="2" t="s">
        <v>47</v>
      </c>
      <c r="G353" s="2">
        <v>100.78</v>
      </c>
      <c r="I353" s="2" t="s">
        <v>21</v>
      </c>
      <c r="J353" s="2" t="str">
        <f t="shared" si="10"/>
        <v>Nov</v>
      </c>
      <c r="K3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53" s="2" t="b">
        <v>1</v>
      </c>
      <c r="P353" s="2" t="str">
        <f t="shared" si="11"/>
        <v/>
      </c>
    </row>
    <row r="354" spans="1:16" x14ac:dyDescent="0.35">
      <c r="A354" s="2" t="s">
        <v>728</v>
      </c>
      <c r="B354" s="2" t="s">
        <v>729</v>
      </c>
      <c r="C354" s="3">
        <v>45297</v>
      </c>
      <c r="D354" s="2" t="s">
        <v>20</v>
      </c>
      <c r="E354" s="2" t="s">
        <v>47</v>
      </c>
      <c r="G354" s="2">
        <v>103.45</v>
      </c>
      <c r="I354" s="2" t="s">
        <v>52</v>
      </c>
      <c r="J354" s="2" t="str">
        <f t="shared" si="10"/>
        <v>Jan</v>
      </c>
      <c r="K35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54" s="2" t="b">
        <v>1</v>
      </c>
      <c r="P354" s="2">
        <f t="shared" si="11"/>
        <v>1702.53</v>
      </c>
    </row>
    <row r="355" spans="1:16" x14ac:dyDescent="0.35">
      <c r="A355" s="2" t="s">
        <v>730</v>
      </c>
      <c r="B355" s="2" t="s">
        <v>731</v>
      </c>
      <c r="C355" s="3">
        <v>45367</v>
      </c>
      <c r="D355" s="2" t="s">
        <v>37</v>
      </c>
      <c r="E355" s="2" t="s">
        <v>28</v>
      </c>
      <c r="F355" s="2">
        <v>9</v>
      </c>
      <c r="G355" s="2">
        <v>189.17</v>
      </c>
      <c r="H355" s="2">
        <v>1702.53</v>
      </c>
      <c r="I355" s="2" t="s">
        <v>52</v>
      </c>
      <c r="J355" s="2" t="str">
        <f t="shared" si="10"/>
        <v>Mar</v>
      </c>
      <c r="K355" s="4">
        <f>IF(AND(ISNUMBER(Lab2_Dataset[[#This Row],[Revenue]]), ISNUMBER(Lab2_Dataset[[#This Row],[Quantity]]), Lab2_Dataset[[#This Row],[Quantity]]&lt;&gt;0), Lab2_Dataset[[#This Row],[Revenue]]/Lab2_Dataset[[#This Row],[Quantity]], "")</f>
        <v>189.17</v>
      </c>
      <c r="O355" s="2" t="b">
        <v>0</v>
      </c>
      <c r="P355" s="2">
        <f t="shared" si="11"/>
        <v>953.55000000000007</v>
      </c>
    </row>
    <row r="356" spans="1:16" x14ac:dyDescent="0.35">
      <c r="A356" s="2" t="s">
        <v>732</v>
      </c>
      <c r="B356" s="2" t="s">
        <v>733</v>
      </c>
      <c r="C356" s="3">
        <v>45323</v>
      </c>
      <c r="D356" s="2" t="s">
        <v>27</v>
      </c>
      <c r="E356" s="2" t="s">
        <v>24</v>
      </c>
      <c r="F356" s="2">
        <v>5</v>
      </c>
      <c r="G356" s="2">
        <v>190.71</v>
      </c>
      <c r="H356" s="2">
        <v>953.55</v>
      </c>
      <c r="I356" s="2" t="s">
        <v>52</v>
      </c>
      <c r="J356" s="2" t="str">
        <f t="shared" si="10"/>
        <v>Feb</v>
      </c>
      <c r="K356" s="4">
        <f>IF(AND(ISNUMBER(Lab2_Dataset[[#This Row],[Revenue]]), ISNUMBER(Lab2_Dataset[[#This Row],[Quantity]]), Lab2_Dataset[[#This Row],[Quantity]]&lt;&gt;0), Lab2_Dataset[[#This Row],[Revenue]]/Lab2_Dataset[[#This Row],[Quantity]], "")</f>
        <v>190.70999999999998</v>
      </c>
      <c r="O356" s="2" t="b">
        <v>0</v>
      </c>
      <c r="P356" s="2">
        <f t="shared" si="11"/>
        <v>145.97999999999999</v>
      </c>
    </row>
    <row r="357" spans="1:16" x14ac:dyDescent="0.35">
      <c r="A357" s="2" t="s">
        <v>734</v>
      </c>
      <c r="B357" s="2" t="s">
        <v>735</v>
      </c>
      <c r="C357" s="3">
        <v>45750</v>
      </c>
      <c r="D357" s="2" t="s">
        <v>20</v>
      </c>
      <c r="E357" s="2" t="s">
        <v>24</v>
      </c>
      <c r="F357" s="2">
        <v>1</v>
      </c>
      <c r="G357" s="2">
        <v>145.97999999999999</v>
      </c>
      <c r="H357" s="2">
        <v>145.97999999999999</v>
      </c>
      <c r="I357" s="2" t="s">
        <v>21</v>
      </c>
      <c r="J357" s="2" t="str">
        <f t="shared" si="10"/>
        <v>Apr</v>
      </c>
      <c r="K357" s="4">
        <f>IF(AND(ISNUMBER(Lab2_Dataset[[#This Row],[Revenue]]), ISNUMBER(Lab2_Dataset[[#This Row],[Quantity]]), Lab2_Dataset[[#This Row],[Quantity]]&lt;&gt;0), Lab2_Dataset[[#This Row],[Revenue]]/Lab2_Dataset[[#This Row],[Quantity]], "")</f>
        <v>145.97999999999999</v>
      </c>
      <c r="O357" s="2" t="b">
        <v>0</v>
      </c>
      <c r="P357" s="2">
        <f t="shared" si="11"/>
        <v>63.99</v>
      </c>
    </row>
    <row r="358" spans="1:16" x14ac:dyDescent="0.35">
      <c r="A358" s="2" t="s">
        <v>736</v>
      </c>
      <c r="B358" s="2" t="s">
        <v>737</v>
      </c>
      <c r="C358" s="3">
        <v>45126</v>
      </c>
      <c r="D358" s="2" t="s">
        <v>20</v>
      </c>
      <c r="E358" s="2" t="s">
        <v>16</v>
      </c>
      <c r="F358" s="2">
        <v>1</v>
      </c>
      <c r="G358" s="2">
        <v>63.99</v>
      </c>
      <c r="H358" s="2">
        <v>63.99</v>
      </c>
      <c r="I358" s="2" t="s">
        <v>21</v>
      </c>
      <c r="J358" s="2" t="str">
        <f t="shared" si="10"/>
        <v>Jul</v>
      </c>
      <c r="K358" s="4">
        <f>IF(AND(ISNUMBER(Lab2_Dataset[[#This Row],[Revenue]]), ISNUMBER(Lab2_Dataset[[#This Row],[Quantity]]), Lab2_Dataset[[#This Row],[Quantity]]&lt;&gt;0), Lab2_Dataset[[#This Row],[Revenue]]/Lab2_Dataset[[#This Row],[Quantity]], "")</f>
        <v>63.99</v>
      </c>
      <c r="O358" s="2" t="b">
        <v>0</v>
      </c>
      <c r="P358" s="2" t="str">
        <f t="shared" si="11"/>
        <v/>
      </c>
    </row>
    <row r="359" spans="1:16" x14ac:dyDescent="0.35">
      <c r="A359" s="2" t="s">
        <v>738</v>
      </c>
      <c r="B359" s="2" t="s">
        <v>739</v>
      </c>
      <c r="C359" s="3">
        <v>45655</v>
      </c>
      <c r="D359" s="2" t="s">
        <v>20</v>
      </c>
      <c r="E359" s="2" t="s">
        <v>47</v>
      </c>
      <c r="G359" s="2">
        <v>48.85</v>
      </c>
      <c r="I359" s="2" t="s">
        <v>17</v>
      </c>
      <c r="J359" s="2" t="str">
        <f t="shared" si="10"/>
        <v>Dec</v>
      </c>
      <c r="K3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59" s="2" t="b">
        <v>1</v>
      </c>
      <c r="P359" s="2" t="str">
        <f t="shared" si="11"/>
        <v/>
      </c>
    </row>
    <row r="360" spans="1:16" x14ac:dyDescent="0.35">
      <c r="A360" s="2" t="s">
        <v>740</v>
      </c>
      <c r="B360" s="2" t="s">
        <v>741</v>
      </c>
      <c r="C360" s="3">
        <v>45587</v>
      </c>
      <c r="D360" s="2" t="s">
        <v>11</v>
      </c>
      <c r="E360" s="2" t="s">
        <v>16</v>
      </c>
      <c r="G360" s="2">
        <v>60.84</v>
      </c>
      <c r="I360" s="2" t="s">
        <v>31</v>
      </c>
      <c r="J360" s="2" t="str">
        <f t="shared" si="10"/>
        <v>Oct</v>
      </c>
      <c r="K36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0" s="2" t="b">
        <v>1</v>
      </c>
      <c r="P360" s="2">
        <f t="shared" si="11"/>
        <v>1603.53</v>
      </c>
    </row>
    <row r="361" spans="1:16" x14ac:dyDescent="0.35">
      <c r="A361" s="2" t="s">
        <v>742</v>
      </c>
      <c r="B361" s="2" t="s">
        <v>743</v>
      </c>
      <c r="C361" s="3">
        <v>45658</v>
      </c>
      <c r="D361" s="2" t="s">
        <v>34</v>
      </c>
      <c r="E361" s="2" t="s">
        <v>16</v>
      </c>
      <c r="F361" s="2">
        <v>9</v>
      </c>
      <c r="G361" s="2">
        <v>178.17</v>
      </c>
      <c r="H361" s="2">
        <v>1603.53</v>
      </c>
      <c r="I361" s="2" t="s">
        <v>17</v>
      </c>
      <c r="J361" s="2" t="str">
        <f t="shared" si="10"/>
        <v>Jan</v>
      </c>
      <c r="K361" s="4">
        <f>IF(AND(ISNUMBER(Lab2_Dataset[[#This Row],[Revenue]]), ISNUMBER(Lab2_Dataset[[#This Row],[Quantity]]), Lab2_Dataset[[#This Row],[Quantity]]&lt;&gt;0), Lab2_Dataset[[#This Row],[Revenue]]/Lab2_Dataset[[#This Row],[Quantity]], "")</f>
        <v>178.17</v>
      </c>
      <c r="O361" s="2" t="b">
        <v>0</v>
      </c>
      <c r="P361" s="2" t="str">
        <f t="shared" si="11"/>
        <v/>
      </c>
    </row>
    <row r="362" spans="1:16" x14ac:dyDescent="0.35">
      <c r="A362" s="2" t="s">
        <v>744</v>
      </c>
      <c r="B362" s="2" t="s">
        <v>745</v>
      </c>
      <c r="C362" s="3">
        <v>45359</v>
      </c>
      <c r="D362" s="2" t="s">
        <v>11</v>
      </c>
      <c r="E362" s="2" t="s">
        <v>28</v>
      </c>
      <c r="G362" s="2">
        <v>196.77</v>
      </c>
      <c r="I362" s="2" t="s">
        <v>13</v>
      </c>
      <c r="J362" s="2" t="str">
        <f t="shared" si="10"/>
        <v>Mar</v>
      </c>
      <c r="K36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2" s="2" t="b">
        <v>1</v>
      </c>
      <c r="P362" s="2" t="str">
        <f t="shared" si="11"/>
        <v/>
      </c>
    </row>
    <row r="363" spans="1:16" x14ac:dyDescent="0.35">
      <c r="A363" s="2" t="s">
        <v>746</v>
      </c>
      <c r="B363" s="2" t="s">
        <v>747</v>
      </c>
      <c r="C363" s="3">
        <v>45635</v>
      </c>
      <c r="D363" s="2" t="s">
        <v>27</v>
      </c>
      <c r="E363" s="2" t="s">
        <v>16</v>
      </c>
      <c r="G363" s="2">
        <v>89.44</v>
      </c>
      <c r="I363" s="2" t="s">
        <v>21</v>
      </c>
      <c r="J363" s="2" t="str">
        <f t="shared" si="10"/>
        <v>Dec</v>
      </c>
      <c r="K3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3" s="2" t="b">
        <v>1</v>
      </c>
      <c r="P363" s="2" t="str">
        <f t="shared" si="11"/>
        <v/>
      </c>
    </row>
    <row r="364" spans="1:16" x14ac:dyDescent="0.35">
      <c r="A364" s="2" t="s">
        <v>748</v>
      </c>
      <c r="B364" s="2" t="s">
        <v>749</v>
      </c>
      <c r="C364" s="3">
        <v>45680</v>
      </c>
      <c r="D364" s="2" t="s">
        <v>37</v>
      </c>
      <c r="E364" s="2" t="s">
        <v>24</v>
      </c>
      <c r="G364" s="2">
        <v>119.85</v>
      </c>
      <c r="I364" s="2" t="s">
        <v>31</v>
      </c>
      <c r="J364" s="2" t="str">
        <f t="shared" si="10"/>
        <v>Jan</v>
      </c>
      <c r="K3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4" s="2" t="b">
        <v>1</v>
      </c>
      <c r="P364" s="2">
        <f t="shared" si="11"/>
        <v>847</v>
      </c>
    </row>
    <row r="365" spans="1:16" x14ac:dyDescent="0.35">
      <c r="A365" s="2" t="s">
        <v>750</v>
      </c>
      <c r="B365" s="2" t="s">
        <v>751</v>
      </c>
      <c r="C365" s="3">
        <v>45338</v>
      </c>
      <c r="D365" s="2" t="s">
        <v>27</v>
      </c>
      <c r="E365" s="2" t="s">
        <v>16</v>
      </c>
      <c r="F365" s="2">
        <v>7</v>
      </c>
      <c r="G365" s="2">
        <v>121</v>
      </c>
      <c r="H365" s="2">
        <v>847</v>
      </c>
      <c r="I365" s="2" t="s">
        <v>17</v>
      </c>
      <c r="J365" s="2" t="str">
        <f t="shared" si="10"/>
        <v>Feb</v>
      </c>
      <c r="K365" s="4">
        <f>IF(AND(ISNUMBER(Lab2_Dataset[[#This Row],[Revenue]]), ISNUMBER(Lab2_Dataset[[#This Row],[Quantity]]), Lab2_Dataset[[#This Row],[Quantity]]&lt;&gt;0), Lab2_Dataset[[#This Row],[Revenue]]/Lab2_Dataset[[#This Row],[Quantity]], "")</f>
        <v>121</v>
      </c>
      <c r="O365" s="2" t="b">
        <v>0</v>
      </c>
      <c r="P365" s="2" t="str">
        <f t="shared" si="11"/>
        <v/>
      </c>
    </row>
    <row r="366" spans="1:16" x14ac:dyDescent="0.35">
      <c r="A366" s="2" t="s">
        <v>752</v>
      </c>
      <c r="B366" s="2" t="s">
        <v>753</v>
      </c>
      <c r="C366" s="3">
        <v>45677</v>
      </c>
      <c r="D366" s="2" t="s">
        <v>27</v>
      </c>
      <c r="E366" s="2" t="s">
        <v>47</v>
      </c>
      <c r="G366" s="2">
        <v>58.81</v>
      </c>
      <c r="I366" s="2" t="s">
        <v>52</v>
      </c>
      <c r="J366" s="2" t="str">
        <f t="shared" si="10"/>
        <v>Jan</v>
      </c>
      <c r="K3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66" s="2" t="b">
        <v>1</v>
      </c>
      <c r="P366" s="2">
        <f t="shared" si="11"/>
        <v>466.32</v>
      </c>
    </row>
    <row r="367" spans="1:16" x14ac:dyDescent="0.35">
      <c r="A367" s="2" t="s">
        <v>754</v>
      </c>
      <c r="B367" s="2" t="s">
        <v>755</v>
      </c>
      <c r="C367" s="3">
        <v>45305</v>
      </c>
      <c r="D367" s="2" t="s">
        <v>34</v>
      </c>
      <c r="E367" s="2" t="s">
        <v>24</v>
      </c>
      <c r="F367" s="2">
        <v>6</v>
      </c>
      <c r="G367" s="2">
        <v>77.72</v>
      </c>
      <c r="H367" s="2">
        <v>466.32</v>
      </c>
      <c r="I367" s="2" t="s">
        <v>31</v>
      </c>
      <c r="J367" s="2" t="str">
        <f t="shared" si="10"/>
        <v>Jan</v>
      </c>
      <c r="K367" s="4">
        <f>IF(AND(ISNUMBER(Lab2_Dataset[[#This Row],[Revenue]]), ISNUMBER(Lab2_Dataset[[#This Row],[Quantity]]), Lab2_Dataset[[#This Row],[Quantity]]&lt;&gt;0), Lab2_Dataset[[#This Row],[Revenue]]/Lab2_Dataset[[#This Row],[Quantity]], "")</f>
        <v>77.72</v>
      </c>
      <c r="O367" s="2" t="b">
        <v>0</v>
      </c>
      <c r="P367" s="2">
        <f t="shared" si="11"/>
        <v>1374.9399999999998</v>
      </c>
    </row>
    <row r="368" spans="1:16" x14ac:dyDescent="0.35">
      <c r="A368" s="2" t="s">
        <v>756</v>
      </c>
      <c r="B368" s="2" t="s">
        <v>757</v>
      </c>
      <c r="C368" s="3">
        <v>45740</v>
      </c>
      <c r="D368" s="2" t="s">
        <v>37</v>
      </c>
      <c r="E368" s="2" t="s">
        <v>47</v>
      </c>
      <c r="F368" s="2">
        <v>7</v>
      </c>
      <c r="G368" s="2">
        <v>196.42</v>
      </c>
      <c r="H368" s="2">
        <v>1374.94</v>
      </c>
      <c r="I368" s="2" t="s">
        <v>31</v>
      </c>
      <c r="J368" s="2" t="str">
        <f t="shared" si="10"/>
        <v>Mar</v>
      </c>
      <c r="K368" s="4">
        <f>IF(AND(ISNUMBER(Lab2_Dataset[[#This Row],[Revenue]]), ISNUMBER(Lab2_Dataset[[#This Row],[Quantity]]), Lab2_Dataset[[#This Row],[Quantity]]&lt;&gt;0), Lab2_Dataset[[#This Row],[Revenue]]/Lab2_Dataset[[#This Row],[Quantity]], "")</f>
        <v>196.42000000000002</v>
      </c>
      <c r="O368" s="2" t="b">
        <v>0</v>
      </c>
      <c r="P368" s="2">
        <f t="shared" si="11"/>
        <v>366.29999999999995</v>
      </c>
    </row>
    <row r="369" spans="1:16" x14ac:dyDescent="0.35">
      <c r="A369" s="2" t="s">
        <v>758</v>
      </c>
      <c r="B369" s="2" t="s">
        <v>759</v>
      </c>
      <c r="C369" s="3">
        <v>45748</v>
      </c>
      <c r="D369" s="2" t="s">
        <v>20</v>
      </c>
      <c r="E369" s="2" t="s">
        <v>12</v>
      </c>
      <c r="F369" s="2">
        <v>3</v>
      </c>
      <c r="G369" s="2">
        <v>122.1</v>
      </c>
      <c r="H369" s="2">
        <v>366.3</v>
      </c>
      <c r="I369" s="2" t="s">
        <v>31</v>
      </c>
      <c r="J369" s="2" t="str">
        <f t="shared" si="10"/>
        <v>Apr</v>
      </c>
      <c r="K369" s="4">
        <f>IF(AND(ISNUMBER(Lab2_Dataset[[#This Row],[Revenue]]), ISNUMBER(Lab2_Dataset[[#This Row],[Quantity]]), Lab2_Dataset[[#This Row],[Quantity]]&lt;&gt;0), Lab2_Dataset[[#This Row],[Revenue]]/Lab2_Dataset[[#This Row],[Quantity]], "")</f>
        <v>122.10000000000001</v>
      </c>
      <c r="O369" s="2" t="b">
        <v>0</v>
      </c>
      <c r="P369" s="2">
        <f t="shared" si="11"/>
        <v>167.52</v>
      </c>
    </row>
    <row r="370" spans="1:16" x14ac:dyDescent="0.35">
      <c r="A370" s="2" t="s">
        <v>760</v>
      </c>
      <c r="B370" s="2" t="s">
        <v>761</v>
      </c>
      <c r="C370" s="3">
        <v>45065</v>
      </c>
      <c r="D370" s="2" t="s">
        <v>27</v>
      </c>
      <c r="E370" s="2" t="s">
        <v>47</v>
      </c>
      <c r="F370" s="2">
        <v>3</v>
      </c>
      <c r="G370" s="2">
        <v>55.84</v>
      </c>
      <c r="I370" s="2" t="s">
        <v>17</v>
      </c>
      <c r="J370" s="2" t="str">
        <f t="shared" si="10"/>
        <v>May</v>
      </c>
      <c r="K37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0" s="2" t="b">
        <v>0</v>
      </c>
      <c r="P370" s="2">
        <f t="shared" si="11"/>
        <v>494.75</v>
      </c>
    </row>
    <row r="371" spans="1:16" x14ac:dyDescent="0.35">
      <c r="A371" s="2" t="s">
        <v>762</v>
      </c>
      <c r="B371" s="2" t="s">
        <v>763</v>
      </c>
      <c r="C371" s="3">
        <v>45576</v>
      </c>
      <c r="D371" s="2" t="s">
        <v>20</v>
      </c>
      <c r="E371" s="2" t="s">
        <v>28</v>
      </c>
      <c r="F371" s="2">
        <v>5</v>
      </c>
      <c r="G371" s="2">
        <v>98.95</v>
      </c>
      <c r="H371" s="2">
        <v>494.75</v>
      </c>
      <c r="I371" s="2" t="s">
        <v>31</v>
      </c>
      <c r="J371" s="2" t="str">
        <f t="shared" si="10"/>
        <v>Oct</v>
      </c>
      <c r="K371" s="4">
        <f>IF(AND(ISNUMBER(Lab2_Dataset[[#This Row],[Revenue]]), ISNUMBER(Lab2_Dataset[[#This Row],[Quantity]]), Lab2_Dataset[[#This Row],[Quantity]]&lt;&gt;0), Lab2_Dataset[[#This Row],[Revenue]]/Lab2_Dataset[[#This Row],[Quantity]], "")</f>
        <v>98.95</v>
      </c>
      <c r="O371" s="2" t="b">
        <v>0</v>
      </c>
      <c r="P371" s="2">
        <f t="shared" si="11"/>
        <v>337.68</v>
      </c>
    </row>
    <row r="372" spans="1:16" x14ac:dyDescent="0.35">
      <c r="A372" s="2" t="s">
        <v>764</v>
      </c>
      <c r="B372" s="2" t="s">
        <v>765</v>
      </c>
      <c r="C372" s="3">
        <v>45625</v>
      </c>
      <c r="D372" s="2" t="s">
        <v>27</v>
      </c>
      <c r="E372" s="2" t="s">
        <v>28</v>
      </c>
      <c r="F372" s="2">
        <v>6</v>
      </c>
      <c r="G372" s="2">
        <v>56.28</v>
      </c>
      <c r="H372" s="2">
        <v>337.68</v>
      </c>
      <c r="I372" s="2" t="s">
        <v>52</v>
      </c>
      <c r="J372" s="2" t="str">
        <f t="shared" si="10"/>
        <v>Nov</v>
      </c>
      <c r="K372" s="4">
        <f>IF(AND(ISNUMBER(Lab2_Dataset[[#This Row],[Revenue]]), ISNUMBER(Lab2_Dataset[[#This Row],[Quantity]]), Lab2_Dataset[[#This Row],[Quantity]]&lt;&gt;0), Lab2_Dataset[[#This Row],[Revenue]]/Lab2_Dataset[[#This Row],[Quantity]], "")</f>
        <v>56.28</v>
      </c>
      <c r="O372" s="2" t="b">
        <v>0</v>
      </c>
      <c r="P372" s="2">
        <f t="shared" si="11"/>
        <v>727.47</v>
      </c>
    </row>
    <row r="373" spans="1:16" x14ac:dyDescent="0.35">
      <c r="A373" s="2" t="s">
        <v>766</v>
      </c>
      <c r="B373" s="2" t="s">
        <v>767</v>
      </c>
      <c r="C373" s="3">
        <v>45207</v>
      </c>
      <c r="D373" s="2" t="s">
        <v>69</v>
      </c>
      <c r="E373" s="2" t="s">
        <v>16</v>
      </c>
      <c r="F373" s="2">
        <v>9</v>
      </c>
      <c r="G373" s="2">
        <v>80.83</v>
      </c>
      <c r="H373" s="2">
        <v>727.47</v>
      </c>
      <c r="I373" s="2" t="s">
        <v>17</v>
      </c>
      <c r="J373" s="2" t="str">
        <f t="shared" si="10"/>
        <v>Oct</v>
      </c>
      <c r="K373" s="4">
        <f>IF(AND(ISNUMBER(Lab2_Dataset[[#This Row],[Revenue]]), ISNUMBER(Lab2_Dataset[[#This Row],[Quantity]]), Lab2_Dataset[[#This Row],[Quantity]]&lt;&gt;0), Lab2_Dataset[[#This Row],[Revenue]]/Lab2_Dataset[[#This Row],[Quantity]], "")</f>
        <v>80.83</v>
      </c>
      <c r="O373" s="2" t="b">
        <v>0</v>
      </c>
      <c r="P373" s="2" t="str">
        <f t="shared" si="11"/>
        <v/>
      </c>
    </row>
    <row r="374" spans="1:16" x14ac:dyDescent="0.35">
      <c r="A374" s="2" t="s">
        <v>768</v>
      </c>
      <c r="B374" s="2" t="s">
        <v>769</v>
      </c>
      <c r="C374" s="3">
        <v>45200</v>
      </c>
      <c r="D374" s="2" t="s">
        <v>20</v>
      </c>
      <c r="E374" s="2" t="s">
        <v>47</v>
      </c>
      <c r="G374" s="2">
        <v>52.69</v>
      </c>
      <c r="I374" s="2" t="s">
        <v>52</v>
      </c>
      <c r="J374" s="2" t="str">
        <f t="shared" si="10"/>
        <v>Oct</v>
      </c>
      <c r="K37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4" s="2" t="b">
        <v>1</v>
      </c>
      <c r="P374" s="2">
        <f t="shared" si="11"/>
        <v>183.45</v>
      </c>
    </row>
    <row r="375" spans="1:16" x14ac:dyDescent="0.35">
      <c r="A375" s="2" t="s">
        <v>770</v>
      </c>
      <c r="B375" s="2" t="s">
        <v>771</v>
      </c>
      <c r="C375" s="3">
        <v>45489</v>
      </c>
      <c r="D375" s="2" t="s">
        <v>27</v>
      </c>
      <c r="E375" s="2" t="s">
        <v>28</v>
      </c>
      <c r="F375" s="2">
        <v>1</v>
      </c>
      <c r="G375" s="2">
        <v>183.45</v>
      </c>
      <c r="H375" s="2">
        <v>183.45</v>
      </c>
      <c r="I375" s="2" t="s">
        <v>38</v>
      </c>
      <c r="J375" s="2" t="str">
        <f t="shared" si="10"/>
        <v>Jul</v>
      </c>
      <c r="K375" s="4">
        <f>IF(AND(ISNUMBER(Lab2_Dataset[[#This Row],[Revenue]]), ISNUMBER(Lab2_Dataset[[#This Row],[Quantity]]), Lab2_Dataset[[#This Row],[Quantity]]&lt;&gt;0), Lab2_Dataset[[#This Row],[Revenue]]/Lab2_Dataset[[#This Row],[Quantity]], "")</f>
        <v>183.45</v>
      </c>
      <c r="O375" s="2" t="b">
        <v>0</v>
      </c>
      <c r="P375" s="2">
        <f t="shared" si="11"/>
        <v>376.08</v>
      </c>
    </row>
    <row r="376" spans="1:16" x14ac:dyDescent="0.35">
      <c r="A376" s="2" t="s">
        <v>772</v>
      </c>
      <c r="B376" s="2" t="s">
        <v>773</v>
      </c>
      <c r="C376" s="3">
        <v>45392</v>
      </c>
      <c r="D376" s="2" t="s">
        <v>20</v>
      </c>
      <c r="E376" s="2" t="s">
        <v>12</v>
      </c>
      <c r="F376" s="2">
        <v>4</v>
      </c>
      <c r="G376" s="2">
        <v>94.02</v>
      </c>
      <c r="H376" s="2">
        <v>376.08</v>
      </c>
      <c r="I376" s="2" t="s">
        <v>21</v>
      </c>
      <c r="J376" s="2" t="str">
        <f t="shared" si="10"/>
        <v>Apr</v>
      </c>
      <c r="K376" s="4">
        <f>IF(AND(ISNUMBER(Lab2_Dataset[[#This Row],[Revenue]]), ISNUMBER(Lab2_Dataset[[#This Row],[Quantity]]), Lab2_Dataset[[#This Row],[Quantity]]&lt;&gt;0), Lab2_Dataset[[#This Row],[Revenue]]/Lab2_Dataset[[#This Row],[Quantity]], "")</f>
        <v>94.02</v>
      </c>
      <c r="O376" s="2" t="b">
        <v>0</v>
      </c>
      <c r="P376" s="2" t="str">
        <f t="shared" si="11"/>
        <v/>
      </c>
    </row>
    <row r="377" spans="1:16" x14ac:dyDescent="0.35">
      <c r="A377" s="2" t="s">
        <v>774</v>
      </c>
      <c r="B377" s="2" t="s">
        <v>775</v>
      </c>
      <c r="C377" s="3">
        <v>45094</v>
      </c>
      <c r="D377" s="2" t="s">
        <v>34</v>
      </c>
      <c r="E377" s="2" t="s">
        <v>16</v>
      </c>
      <c r="G377" s="2">
        <v>152.78</v>
      </c>
      <c r="I377" s="2" t="s">
        <v>52</v>
      </c>
      <c r="J377" s="2" t="str">
        <f t="shared" si="10"/>
        <v>Jun</v>
      </c>
      <c r="K37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7" s="2" t="b">
        <v>1</v>
      </c>
      <c r="P377" s="2" t="str">
        <f t="shared" si="11"/>
        <v/>
      </c>
    </row>
    <row r="378" spans="1:16" x14ac:dyDescent="0.35">
      <c r="A378" s="2" t="s">
        <v>776</v>
      </c>
      <c r="B378" s="2" t="s">
        <v>777</v>
      </c>
      <c r="C378" s="3">
        <v>45589</v>
      </c>
      <c r="D378" s="2" t="s">
        <v>69</v>
      </c>
      <c r="E378" s="2" t="s">
        <v>16</v>
      </c>
      <c r="G378" s="2">
        <v>55.99</v>
      </c>
      <c r="I378" s="2" t="s">
        <v>17</v>
      </c>
      <c r="J378" s="2" t="str">
        <f t="shared" si="10"/>
        <v>Oct</v>
      </c>
      <c r="K37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8" s="2" t="b">
        <v>1</v>
      </c>
      <c r="P378" s="2" t="str">
        <f t="shared" si="11"/>
        <v/>
      </c>
    </row>
    <row r="379" spans="1:16" x14ac:dyDescent="0.35">
      <c r="A379" s="2" t="s">
        <v>778</v>
      </c>
      <c r="B379" s="2" t="s">
        <v>779</v>
      </c>
      <c r="C379" s="3">
        <v>45133</v>
      </c>
      <c r="D379" s="2" t="s">
        <v>27</v>
      </c>
      <c r="E379" s="2" t="s">
        <v>47</v>
      </c>
      <c r="G379" s="2">
        <v>141.15</v>
      </c>
      <c r="I379" s="2" t="s">
        <v>13</v>
      </c>
      <c r="J379" s="2" t="str">
        <f t="shared" si="10"/>
        <v>Jul</v>
      </c>
      <c r="K37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79" s="2" t="b">
        <v>1</v>
      </c>
      <c r="P379" s="2">
        <f t="shared" si="11"/>
        <v>496.08</v>
      </c>
    </row>
    <row r="380" spans="1:16" x14ac:dyDescent="0.35">
      <c r="A380" s="2" t="s">
        <v>780</v>
      </c>
      <c r="B380" s="2" t="s">
        <v>781</v>
      </c>
      <c r="C380" s="3">
        <v>45203</v>
      </c>
      <c r="D380" s="2" t="s">
        <v>37</v>
      </c>
      <c r="E380" s="2" t="s">
        <v>47</v>
      </c>
      <c r="F380" s="2">
        <v>4</v>
      </c>
      <c r="G380" s="2">
        <v>124.02</v>
      </c>
      <c r="H380" s="2">
        <v>496.08</v>
      </c>
      <c r="I380" s="2" t="s">
        <v>17</v>
      </c>
      <c r="J380" s="2" t="str">
        <f t="shared" si="10"/>
        <v>Oct</v>
      </c>
      <c r="K380" s="4">
        <f>IF(AND(ISNUMBER(Lab2_Dataset[[#This Row],[Revenue]]), ISNUMBER(Lab2_Dataset[[#This Row],[Quantity]]), Lab2_Dataset[[#This Row],[Quantity]]&lt;&gt;0), Lab2_Dataset[[#This Row],[Revenue]]/Lab2_Dataset[[#This Row],[Quantity]], "")</f>
        <v>124.02</v>
      </c>
      <c r="O380" s="2" t="b">
        <v>0</v>
      </c>
      <c r="P380" s="2" t="str">
        <f t="shared" si="11"/>
        <v/>
      </c>
    </row>
    <row r="381" spans="1:16" x14ac:dyDescent="0.35">
      <c r="A381" s="2" t="s">
        <v>782</v>
      </c>
      <c r="B381" s="2" t="s">
        <v>783</v>
      </c>
      <c r="C381" s="3">
        <v>45277</v>
      </c>
      <c r="D381" s="2" t="s">
        <v>20</v>
      </c>
      <c r="E381" s="2" t="s">
        <v>12</v>
      </c>
      <c r="G381" s="2">
        <v>195.3</v>
      </c>
      <c r="I381" s="2" t="s">
        <v>31</v>
      </c>
      <c r="J381" s="2" t="str">
        <f t="shared" si="10"/>
        <v>Dec</v>
      </c>
      <c r="K3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1" s="2" t="b">
        <v>1</v>
      </c>
      <c r="P381" s="2" t="str">
        <f t="shared" si="11"/>
        <v/>
      </c>
    </row>
    <row r="382" spans="1:16" x14ac:dyDescent="0.35">
      <c r="A382" s="2" t="s">
        <v>784</v>
      </c>
      <c r="B382" s="2" t="s">
        <v>785</v>
      </c>
      <c r="C382" s="3">
        <v>45755</v>
      </c>
      <c r="D382" s="2" t="s">
        <v>34</v>
      </c>
      <c r="E382" s="2" t="s">
        <v>47</v>
      </c>
      <c r="G382" s="2">
        <v>56.29</v>
      </c>
      <c r="I382" s="2" t="s">
        <v>38</v>
      </c>
      <c r="J382" s="2" t="str">
        <f t="shared" si="10"/>
        <v>Apr</v>
      </c>
      <c r="K38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2" s="2" t="b">
        <v>1</v>
      </c>
      <c r="P382" s="2">
        <f t="shared" si="11"/>
        <v>618.73</v>
      </c>
    </row>
    <row r="383" spans="1:16" x14ac:dyDescent="0.35">
      <c r="A383" s="2" t="s">
        <v>786</v>
      </c>
      <c r="B383" s="2" t="s">
        <v>787</v>
      </c>
      <c r="C383" s="3">
        <v>45618</v>
      </c>
      <c r="D383" s="2" t="s">
        <v>27</v>
      </c>
      <c r="E383" s="2" t="s">
        <v>28</v>
      </c>
      <c r="F383" s="2">
        <v>7</v>
      </c>
      <c r="G383" s="2">
        <v>88.39</v>
      </c>
      <c r="H383" s="2">
        <v>618.73</v>
      </c>
      <c r="I383" s="2" t="s">
        <v>31</v>
      </c>
      <c r="J383" s="2" t="str">
        <f t="shared" si="10"/>
        <v>Nov</v>
      </c>
      <c r="K383" s="4">
        <f>IF(AND(ISNUMBER(Lab2_Dataset[[#This Row],[Revenue]]), ISNUMBER(Lab2_Dataset[[#This Row],[Quantity]]), Lab2_Dataset[[#This Row],[Quantity]]&lt;&gt;0), Lab2_Dataset[[#This Row],[Revenue]]/Lab2_Dataset[[#This Row],[Quantity]], "")</f>
        <v>88.39</v>
      </c>
      <c r="O383" s="2" t="b">
        <v>0</v>
      </c>
      <c r="P383" s="2" t="str">
        <f t="shared" si="11"/>
        <v/>
      </c>
    </row>
    <row r="384" spans="1:16" x14ac:dyDescent="0.35">
      <c r="A384" s="2" t="s">
        <v>788</v>
      </c>
      <c r="B384" s="2" t="s">
        <v>789</v>
      </c>
      <c r="C384" s="3">
        <v>45673</v>
      </c>
      <c r="D384" s="2" t="s">
        <v>69</v>
      </c>
      <c r="E384" s="2" t="s">
        <v>28</v>
      </c>
      <c r="G384" s="2">
        <v>180.43</v>
      </c>
      <c r="I384" s="2" t="s">
        <v>13</v>
      </c>
      <c r="J384" s="2" t="str">
        <f t="shared" si="10"/>
        <v>Jan</v>
      </c>
      <c r="K38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4" s="2" t="b">
        <v>1</v>
      </c>
      <c r="P384" s="2" t="str">
        <f t="shared" si="11"/>
        <v/>
      </c>
    </row>
    <row r="385" spans="1:16" x14ac:dyDescent="0.35">
      <c r="A385" s="2" t="s">
        <v>790</v>
      </c>
      <c r="B385" s="2" t="s">
        <v>791</v>
      </c>
      <c r="C385" s="3">
        <v>45185</v>
      </c>
      <c r="D385" s="2" t="s">
        <v>34</v>
      </c>
      <c r="E385" s="2" t="s">
        <v>12</v>
      </c>
      <c r="G385" s="2">
        <v>17.32</v>
      </c>
      <c r="I385" s="2" t="s">
        <v>13</v>
      </c>
      <c r="J385" s="2" t="str">
        <f t="shared" si="10"/>
        <v>Sep</v>
      </c>
      <c r="K38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5" s="2" t="b">
        <v>1</v>
      </c>
      <c r="P385" s="2">
        <f t="shared" si="11"/>
        <v>312.39999999999998</v>
      </c>
    </row>
    <row r="386" spans="1:16" x14ac:dyDescent="0.35">
      <c r="A386" s="2" t="s">
        <v>792</v>
      </c>
      <c r="B386" s="2" t="s">
        <v>793</v>
      </c>
      <c r="C386" s="3">
        <v>45104</v>
      </c>
      <c r="D386" s="2" t="s">
        <v>34</v>
      </c>
      <c r="E386" s="2" t="s">
        <v>16</v>
      </c>
      <c r="F386" s="2">
        <v>4</v>
      </c>
      <c r="G386" s="2">
        <v>78.099999999999994</v>
      </c>
      <c r="H386" s="2">
        <v>312.39999999999998</v>
      </c>
      <c r="I386" s="2" t="s">
        <v>17</v>
      </c>
      <c r="J386" s="2" t="str">
        <f t="shared" ref="J386:J449" si="12">TEXT(C386,"mmm")</f>
        <v>Jun</v>
      </c>
      <c r="K386" s="4">
        <f>IF(AND(ISNUMBER(Lab2_Dataset[[#This Row],[Revenue]]), ISNUMBER(Lab2_Dataset[[#This Row],[Quantity]]), Lab2_Dataset[[#This Row],[Quantity]]&lt;&gt;0), Lab2_Dataset[[#This Row],[Revenue]]/Lab2_Dataset[[#This Row],[Quantity]], "")</f>
        <v>78.099999999999994</v>
      </c>
      <c r="O386" s="2" t="b">
        <v>0</v>
      </c>
      <c r="P386" s="2" t="str">
        <f t="shared" si="11"/>
        <v/>
      </c>
    </row>
    <row r="387" spans="1:16" x14ac:dyDescent="0.35">
      <c r="A387" s="2" t="s">
        <v>794</v>
      </c>
      <c r="B387" s="2" t="s">
        <v>795</v>
      </c>
      <c r="C387" s="3">
        <v>45518</v>
      </c>
      <c r="D387" s="2" t="s">
        <v>69</v>
      </c>
      <c r="E387" s="2" t="s">
        <v>12</v>
      </c>
      <c r="G387" s="2">
        <v>197.53</v>
      </c>
      <c r="I387" s="2" t="s">
        <v>52</v>
      </c>
      <c r="J387" s="2" t="str">
        <f t="shared" si="12"/>
        <v>Aug</v>
      </c>
      <c r="K3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7" s="2" t="b">
        <v>1</v>
      </c>
      <c r="P387" s="2" t="str">
        <f t="shared" ref="P387:P450" si="13">IF(O388=TRUE,"",F388*G388)</f>
        <v/>
      </c>
    </row>
    <row r="388" spans="1:16" x14ac:dyDescent="0.35">
      <c r="A388" s="2" t="s">
        <v>796</v>
      </c>
      <c r="B388" s="2" t="s">
        <v>797</v>
      </c>
      <c r="C388" s="3">
        <v>45664</v>
      </c>
      <c r="D388" s="2" t="s">
        <v>34</v>
      </c>
      <c r="E388" s="2" t="s">
        <v>24</v>
      </c>
      <c r="G388" s="2">
        <v>58.03</v>
      </c>
      <c r="I388" s="2" t="s">
        <v>38</v>
      </c>
      <c r="J388" s="2" t="str">
        <f t="shared" si="12"/>
        <v>Jan</v>
      </c>
      <c r="K3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8" s="2" t="b">
        <v>1</v>
      </c>
      <c r="P388" s="2" t="str">
        <f t="shared" si="13"/>
        <v/>
      </c>
    </row>
    <row r="389" spans="1:16" x14ac:dyDescent="0.35">
      <c r="A389" s="2" t="s">
        <v>798</v>
      </c>
      <c r="B389" s="2" t="s">
        <v>799</v>
      </c>
      <c r="C389" s="3">
        <v>45359</v>
      </c>
      <c r="D389" s="2" t="s">
        <v>20</v>
      </c>
      <c r="E389" s="2" t="s">
        <v>28</v>
      </c>
      <c r="G389" s="2">
        <v>138.01</v>
      </c>
      <c r="I389" s="2" t="s">
        <v>52</v>
      </c>
      <c r="J389" s="2" t="str">
        <f t="shared" si="12"/>
        <v>Mar</v>
      </c>
      <c r="K3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89" s="2" t="b">
        <v>1</v>
      </c>
      <c r="P389" s="2" t="str">
        <f t="shared" si="13"/>
        <v/>
      </c>
    </row>
    <row r="390" spans="1:16" x14ac:dyDescent="0.35">
      <c r="A390" s="2" t="s">
        <v>800</v>
      </c>
      <c r="B390" s="2" t="s">
        <v>801</v>
      </c>
      <c r="C390" s="3">
        <v>45706</v>
      </c>
      <c r="D390" s="2" t="s">
        <v>27</v>
      </c>
      <c r="E390" s="2" t="s">
        <v>28</v>
      </c>
      <c r="G390" s="2">
        <v>81.37</v>
      </c>
      <c r="I390" s="2" t="s">
        <v>21</v>
      </c>
      <c r="J390" s="2" t="str">
        <f t="shared" si="12"/>
        <v>Feb</v>
      </c>
      <c r="K3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0" s="2" t="b">
        <v>1</v>
      </c>
      <c r="P390" s="2" t="str">
        <f t="shared" si="13"/>
        <v/>
      </c>
    </row>
    <row r="391" spans="1:16" x14ac:dyDescent="0.35">
      <c r="A391" s="2" t="s">
        <v>802</v>
      </c>
      <c r="B391" s="2" t="s">
        <v>803</v>
      </c>
      <c r="C391" s="3">
        <v>45159</v>
      </c>
      <c r="D391" s="2" t="s">
        <v>69</v>
      </c>
      <c r="E391" s="2" t="s">
        <v>16</v>
      </c>
      <c r="G391" s="2">
        <v>110.42</v>
      </c>
      <c r="I391" s="2" t="s">
        <v>13</v>
      </c>
      <c r="J391" s="2" t="str">
        <f t="shared" si="12"/>
        <v>Aug</v>
      </c>
      <c r="K39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1" s="2" t="b">
        <v>1</v>
      </c>
      <c r="P391" s="2">
        <f t="shared" si="13"/>
        <v>239.85</v>
      </c>
    </row>
    <row r="392" spans="1:16" x14ac:dyDescent="0.35">
      <c r="A392" s="2" t="s">
        <v>804</v>
      </c>
      <c r="B392" s="2" t="s">
        <v>805</v>
      </c>
      <c r="C392" s="3">
        <v>45688</v>
      </c>
      <c r="D392" s="2" t="s">
        <v>34</v>
      </c>
      <c r="E392" s="2" t="s">
        <v>12</v>
      </c>
      <c r="F392" s="2">
        <v>5</v>
      </c>
      <c r="G392" s="2">
        <v>47.97</v>
      </c>
      <c r="I392" s="2" t="s">
        <v>52</v>
      </c>
      <c r="J392" s="2" t="str">
        <f t="shared" si="12"/>
        <v>Jan</v>
      </c>
      <c r="K3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2" s="2" t="b">
        <v>0</v>
      </c>
      <c r="P392" s="2">
        <f t="shared" si="13"/>
        <v>612.79999999999995</v>
      </c>
    </row>
    <row r="393" spans="1:16" x14ac:dyDescent="0.35">
      <c r="A393" s="2" t="s">
        <v>806</v>
      </c>
      <c r="B393" s="2" t="s">
        <v>807</v>
      </c>
      <c r="C393" s="3">
        <v>45722</v>
      </c>
      <c r="D393" s="2" t="s">
        <v>34</v>
      </c>
      <c r="E393" s="2" t="s">
        <v>47</v>
      </c>
      <c r="F393" s="2">
        <v>4</v>
      </c>
      <c r="G393" s="2">
        <v>153.19999999999999</v>
      </c>
      <c r="H393" s="2">
        <v>612.79999999999995</v>
      </c>
      <c r="I393" s="2" t="s">
        <v>38</v>
      </c>
      <c r="J393" s="2" t="str">
        <f t="shared" si="12"/>
        <v>Mar</v>
      </c>
      <c r="K393" s="4">
        <f>IF(AND(ISNUMBER(Lab2_Dataset[[#This Row],[Revenue]]), ISNUMBER(Lab2_Dataset[[#This Row],[Quantity]]), Lab2_Dataset[[#This Row],[Quantity]]&lt;&gt;0), Lab2_Dataset[[#This Row],[Revenue]]/Lab2_Dataset[[#This Row],[Quantity]], "")</f>
        <v>153.19999999999999</v>
      </c>
      <c r="O393" s="2" t="b">
        <v>0</v>
      </c>
      <c r="P393" s="2">
        <f t="shared" si="13"/>
        <v>889.2</v>
      </c>
    </row>
    <row r="394" spans="1:16" x14ac:dyDescent="0.35">
      <c r="A394" s="2" t="s">
        <v>808</v>
      </c>
      <c r="B394" s="2" t="s">
        <v>809</v>
      </c>
      <c r="C394" s="3">
        <v>45536</v>
      </c>
      <c r="D394" s="2" t="s">
        <v>20</v>
      </c>
      <c r="E394" s="2" t="s">
        <v>28</v>
      </c>
      <c r="F394" s="2">
        <v>8</v>
      </c>
      <c r="G394" s="2">
        <v>111.15</v>
      </c>
      <c r="H394" s="2">
        <v>889.2</v>
      </c>
      <c r="I394" s="2" t="s">
        <v>17</v>
      </c>
      <c r="J394" s="2" t="str">
        <f t="shared" si="12"/>
        <v>Sep</v>
      </c>
      <c r="K394" s="4">
        <f>IF(AND(ISNUMBER(Lab2_Dataset[[#This Row],[Revenue]]), ISNUMBER(Lab2_Dataset[[#This Row],[Quantity]]), Lab2_Dataset[[#This Row],[Quantity]]&lt;&gt;0), Lab2_Dataset[[#This Row],[Revenue]]/Lab2_Dataset[[#This Row],[Quantity]], "")</f>
        <v>111.15</v>
      </c>
      <c r="O394" s="2" t="b">
        <v>0</v>
      </c>
      <c r="P394" s="2" t="str">
        <f t="shared" si="13"/>
        <v/>
      </c>
    </row>
    <row r="395" spans="1:16" x14ac:dyDescent="0.35">
      <c r="A395" s="2" t="s">
        <v>810</v>
      </c>
      <c r="B395" s="2" t="s">
        <v>811</v>
      </c>
      <c r="C395" s="3">
        <v>45472</v>
      </c>
      <c r="D395" s="2" t="s">
        <v>11</v>
      </c>
      <c r="E395" s="2" t="s">
        <v>24</v>
      </c>
      <c r="G395" s="2">
        <v>110.33</v>
      </c>
      <c r="I395" s="2" t="s">
        <v>17</v>
      </c>
      <c r="J395" s="2" t="str">
        <f t="shared" si="12"/>
        <v>Jun</v>
      </c>
      <c r="K3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5" s="2" t="b">
        <v>1</v>
      </c>
      <c r="P395" s="2" t="str">
        <f t="shared" si="13"/>
        <v/>
      </c>
    </row>
    <row r="396" spans="1:16" x14ac:dyDescent="0.35">
      <c r="A396" s="2" t="s">
        <v>812</v>
      </c>
      <c r="B396" s="2" t="s">
        <v>813</v>
      </c>
      <c r="C396" s="3">
        <v>45551</v>
      </c>
      <c r="D396" s="2" t="s">
        <v>20</v>
      </c>
      <c r="E396" s="2" t="s">
        <v>28</v>
      </c>
      <c r="G396" s="2">
        <v>194.71</v>
      </c>
      <c r="I396" s="2" t="s">
        <v>38</v>
      </c>
      <c r="J396" s="2" t="str">
        <f t="shared" si="12"/>
        <v>Sep</v>
      </c>
      <c r="K3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6" s="2" t="b">
        <v>1</v>
      </c>
      <c r="P396" s="2">
        <f t="shared" si="13"/>
        <v>62.59</v>
      </c>
    </row>
    <row r="397" spans="1:16" x14ac:dyDescent="0.35">
      <c r="A397" s="2" t="s">
        <v>814</v>
      </c>
      <c r="B397" s="2" t="s">
        <v>815</v>
      </c>
      <c r="C397" s="3">
        <v>45447</v>
      </c>
      <c r="D397" s="2" t="s">
        <v>34</v>
      </c>
      <c r="E397" s="2" t="s">
        <v>16</v>
      </c>
      <c r="F397" s="2">
        <v>1</v>
      </c>
      <c r="G397" s="2">
        <v>62.59</v>
      </c>
      <c r="H397" s="2">
        <v>62.59</v>
      </c>
      <c r="I397" s="2" t="s">
        <v>52</v>
      </c>
      <c r="J397" s="2" t="str">
        <f t="shared" si="12"/>
        <v>Jun</v>
      </c>
      <c r="K397" s="4">
        <f>IF(AND(ISNUMBER(Lab2_Dataset[[#This Row],[Revenue]]), ISNUMBER(Lab2_Dataset[[#This Row],[Quantity]]), Lab2_Dataset[[#This Row],[Quantity]]&lt;&gt;0), Lab2_Dataset[[#This Row],[Revenue]]/Lab2_Dataset[[#This Row],[Quantity]], "")</f>
        <v>62.59</v>
      </c>
      <c r="O397" s="2" t="b">
        <v>0</v>
      </c>
      <c r="P397" s="2" t="str">
        <f t="shared" si="13"/>
        <v/>
      </c>
    </row>
    <row r="398" spans="1:16" x14ac:dyDescent="0.35">
      <c r="A398" s="2" t="s">
        <v>816</v>
      </c>
      <c r="B398" s="2" t="s">
        <v>817</v>
      </c>
      <c r="C398" s="3">
        <v>45753</v>
      </c>
      <c r="D398" s="2" t="s">
        <v>27</v>
      </c>
      <c r="E398" s="2" t="s">
        <v>12</v>
      </c>
      <c r="G398" s="2">
        <v>132.13999999999999</v>
      </c>
      <c r="I398" s="2" t="s">
        <v>38</v>
      </c>
      <c r="J398" s="2" t="str">
        <f t="shared" si="12"/>
        <v>Apr</v>
      </c>
      <c r="K39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8" s="2" t="b">
        <v>1</v>
      </c>
      <c r="P398" s="2" t="str">
        <f t="shared" si="13"/>
        <v/>
      </c>
    </row>
    <row r="399" spans="1:16" x14ac:dyDescent="0.35">
      <c r="A399" s="2" t="s">
        <v>818</v>
      </c>
      <c r="B399" s="2" t="s">
        <v>819</v>
      </c>
      <c r="C399" s="3">
        <v>45247</v>
      </c>
      <c r="D399" s="2" t="s">
        <v>69</v>
      </c>
      <c r="E399" s="2" t="s">
        <v>12</v>
      </c>
      <c r="G399" s="2">
        <v>111.14</v>
      </c>
      <c r="I399" s="2" t="s">
        <v>52</v>
      </c>
      <c r="J399" s="2" t="str">
        <f t="shared" si="12"/>
        <v>Nov</v>
      </c>
      <c r="K39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399" s="2" t="b">
        <v>1</v>
      </c>
      <c r="P399" s="2" t="str">
        <f t="shared" si="13"/>
        <v/>
      </c>
    </row>
    <row r="400" spans="1:16" x14ac:dyDescent="0.35">
      <c r="A400" s="2" t="s">
        <v>820</v>
      </c>
      <c r="B400" s="2" t="s">
        <v>821</v>
      </c>
      <c r="C400" s="3">
        <v>45564</v>
      </c>
      <c r="D400" s="2" t="s">
        <v>11</v>
      </c>
      <c r="E400" s="2" t="s">
        <v>28</v>
      </c>
      <c r="G400" s="2">
        <v>121.97</v>
      </c>
      <c r="I400" s="2" t="s">
        <v>13</v>
      </c>
      <c r="J400" s="2" t="str">
        <f t="shared" si="12"/>
        <v>Sep</v>
      </c>
      <c r="K40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00" s="2" t="b">
        <v>1</v>
      </c>
      <c r="P400" s="2">
        <f t="shared" si="13"/>
        <v>258</v>
      </c>
    </row>
    <row r="401" spans="1:16" x14ac:dyDescent="0.35">
      <c r="A401" s="2" t="s">
        <v>822</v>
      </c>
      <c r="B401" s="2" t="s">
        <v>823</v>
      </c>
      <c r="C401" s="3">
        <v>45329</v>
      </c>
      <c r="D401" s="2" t="s">
        <v>20</v>
      </c>
      <c r="E401" s="2" t="s">
        <v>24</v>
      </c>
      <c r="F401" s="2">
        <v>3</v>
      </c>
      <c r="G401" s="2">
        <v>86</v>
      </c>
      <c r="I401" s="2" t="s">
        <v>21</v>
      </c>
      <c r="J401" s="2" t="str">
        <f t="shared" si="12"/>
        <v>Feb</v>
      </c>
      <c r="K40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01" s="2" t="b">
        <v>0</v>
      </c>
      <c r="P401" s="2">
        <f t="shared" si="13"/>
        <v>52.07</v>
      </c>
    </row>
    <row r="402" spans="1:16" x14ac:dyDescent="0.35">
      <c r="A402" s="2" t="s">
        <v>824</v>
      </c>
      <c r="B402" s="2" t="s">
        <v>825</v>
      </c>
      <c r="C402" s="3">
        <v>45341</v>
      </c>
      <c r="D402" s="2" t="s">
        <v>11</v>
      </c>
      <c r="E402" s="2" t="s">
        <v>24</v>
      </c>
      <c r="F402" s="2">
        <v>1</v>
      </c>
      <c r="G402" s="2">
        <v>52.07</v>
      </c>
      <c r="H402" s="2">
        <v>52.07</v>
      </c>
      <c r="I402" s="2" t="s">
        <v>21</v>
      </c>
      <c r="J402" s="2" t="str">
        <f t="shared" si="12"/>
        <v>Feb</v>
      </c>
      <c r="K402" s="4">
        <f>IF(AND(ISNUMBER(Lab2_Dataset[[#This Row],[Revenue]]), ISNUMBER(Lab2_Dataset[[#This Row],[Quantity]]), Lab2_Dataset[[#This Row],[Quantity]]&lt;&gt;0), Lab2_Dataset[[#This Row],[Revenue]]/Lab2_Dataset[[#This Row],[Quantity]], "")</f>
        <v>52.07</v>
      </c>
      <c r="O402" s="2" t="b">
        <v>0</v>
      </c>
      <c r="P402" s="2">
        <f t="shared" si="13"/>
        <v>49.47</v>
      </c>
    </row>
    <row r="403" spans="1:16" x14ac:dyDescent="0.35">
      <c r="A403" s="2" t="s">
        <v>826</v>
      </c>
      <c r="B403" s="2" t="s">
        <v>827</v>
      </c>
      <c r="C403" s="3">
        <v>45120</v>
      </c>
      <c r="D403" s="2" t="s">
        <v>34</v>
      </c>
      <c r="E403" s="2" t="s">
        <v>47</v>
      </c>
      <c r="F403" s="2">
        <v>1</v>
      </c>
      <c r="G403" s="2">
        <v>49.47</v>
      </c>
      <c r="H403" s="2">
        <v>49.47</v>
      </c>
      <c r="I403" s="2" t="s">
        <v>21</v>
      </c>
      <c r="J403" s="2" t="str">
        <f t="shared" si="12"/>
        <v>Jul</v>
      </c>
      <c r="K403" s="4">
        <f>IF(AND(ISNUMBER(Lab2_Dataset[[#This Row],[Revenue]]), ISNUMBER(Lab2_Dataset[[#This Row],[Quantity]]), Lab2_Dataset[[#This Row],[Quantity]]&lt;&gt;0), Lab2_Dataset[[#This Row],[Revenue]]/Lab2_Dataset[[#This Row],[Quantity]], "")</f>
        <v>49.47</v>
      </c>
      <c r="O403" s="2" t="b">
        <v>0</v>
      </c>
      <c r="P403" s="2">
        <f t="shared" si="13"/>
        <v>530.37</v>
      </c>
    </row>
    <row r="404" spans="1:16" x14ac:dyDescent="0.35">
      <c r="A404" s="2" t="s">
        <v>828</v>
      </c>
      <c r="B404" s="2" t="s">
        <v>829</v>
      </c>
      <c r="C404" s="3">
        <v>45207</v>
      </c>
      <c r="D404" s="2" t="s">
        <v>34</v>
      </c>
      <c r="E404" s="2" t="s">
        <v>12</v>
      </c>
      <c r="F404" s="2">
        <v>3</v>
      </c>
      <c r="G404" s="2">
        <v>176.79</v>
      </c>
      <c r="H404" s="2">
        <v>530.37</v>
      </c>
      <c r="I404" s="2" t="s">
        <v>31</v>
      </c>
      <c r="J404" s="2" t="str">
        <f t="shared" si="12"/>
        <v>Oct</v>
      </c>
      <c r="K404" s="4">
        <f>IF(AND(ISNUMBER(Lab2_Dataset[[#This Row],[Revenue]]), ISNUMBER(Lab2_Dataset[[#This Row],[Quantity]]), Lab2_Dataset[[#This Row],[Quantity]]&lt;&gt;0), Lab2_Dataset[[#This Row],[Revenue]]/Lab2_Dataset[[#This Row],[Quantity]], "")</f>
        <v>176.79</v>
      </c>
      <c r="O404" s="2" t="b">
        <v>0</v>
      </c>
      <c r="P404" s="2">
        <f t="shared" si="13"/>
        <v>765.3</v>
      </c>
    </row>
    <row r="405" spans="1:16" x14ac:dyDescent="0.35">
      <c r="A405" s="2" t="s">
        <v>830</v>
      </c>
      <c r="B405" s="2" t="s">
        <v>831</v>
      </c>
      <c r="C405" s="3">
        <v>45069</v>
      </c>
      <c r="D405" s="2" t="s">
        <v>20</v>
      </c>
      <c r="E405" s="2" t="s">
        <v>47</v>
      </c>
      <c r="F405" s="2">
        <v>5</v>
      </c>
      <c r="G405" s="2">
        <v>153.06</v>
      </c>
      <c r="H405" s="2">
        <v>765.3</v>
      </c>
      <c r="I405" s="2" t="s">
        <v>17</v>
      </c>
      <c r="J405" s="2" t="str">
        <f t="shared" si="12"/>
        <v>May</v>
      </c>
      <c r="K405" s="4">
        <f>IF(AND(ISNUMBER(Lab2_Dataset[[#This Row],[Revenue]]), ISNUMBER(Lab2_Dataset[[#This Row],[Quantity]]), Lab2_Dataset[[#This Row],[Quantity]]&lt;&gt;0), Lab2_Dataset[[#This Row],[Revenue]]/Lab2_Dataset[[#This Row],[Quantity]], "")</f>
        <v>153.06</v>
      </c>
      <c r="O405" s="2" t="b">
        <v>0</v>
      </c>
      <c r="P405" s="2">
        <f t="shared" si="13"/>
        <v>307.02</v>
      </c>
    </row>
    <row r="406" spans="1:16" x14ac:dyDescent="0.35">
      <c r="A406" s="2" t="s">
        <v>832</v>
      </c>
      <c r="B406" s="2" t="s">
        <v>833</v>
      </c>
      <c r="C406" s="3">
        <v>45704</v>
      </c>
      <c r="D406" s="2" t="s">
        <v>27</v>
      </c>
      <c r="E406" s="2" t="s">
        <v>16</v>
      </c>
      <c r="F406" s="2">
        <v>3</v>
      </c>
      <c r="G406" s="2">
        <v>102.34</v>
      </c>
      <c r="H406" s="2">
        <v>307.02</v>
      </c>
      <c r="I406" s="2" t="s">
        <v>38</v>
      </c>
      <c r="J406" s="2" t="str">
        <f t="shared" si="12"/>
        <v>Feb</v>
      </c>
      <c r="K406" s="4">
        <f>IF(AND(ISNUMBER(Lab2_Dataset[[#This Row],[Revenue]]), ISNUMBER(Lab2_Dataset[[#This Row],[Quantity]]), Lab2_Dataset[[#This Row],[Quantity]]&lt;&gt;0), Lab2_Dataset[[#This Row],[Revenue]]/Lab2_Dataset[[#This Row],[Quantity]], "")</f>
        <v>102.33999999999999</v>
      </c>
      <c r="O406" s="2" t="b">
        <v>0</v>
      </c>
      <c r="P406" s="2">
        <f t="shared" si="13"/>
        <v>86.78</v>
      </c>
    </row>
    <row r="407" spans="1:16" x14ac:dyDescent="0.35">
      <c r="A407" s="2" t="s">
        <v>834</v>
      </c>
      <c r="B407" s="2" t="s">
        <v>835</v>
      </c>
      <c r="C407" s="3">
        <v>45643</v>
      </c>
      <c r="D407" s="2" t="s">
        <v>27</v>
      </c>
      <c r="E407" s="2" t="s">
        <v>12</v>
      </c>
      <c r="F407" s="2">
        <v>1</v>
      </c>
      <c r="G407" s="2">
        <v>86.78</v>
      </c>
      <c r="H407" s="2">
        <v>86.78</v>
      </c>
      <c r="I407" s="2" t="s">
        <v>13</v>
      </c>
      <c r="J407" s="2" t="str">
        <f t="shared" si="12"/>
        <v>Dec</v>
      </c>
      <c r="K407" s="4">
        <f>IF(AND(ISNUMBER(Lab2_Dataset[[#This Row],[Revenue]]), ISNUMBER(Lab2_Dataset[[#This Row],[Quantity]]), Lab2_Dataset[[#This Row],[Quantity]]&lt;&gt;0), Lab2_Dataset[[#This Row],[Revenue]]/Lab2_Dataset[[#This Row],[Quantity]], "")</f>
        <v>86.78</v>
      </c>
      <c r="O407" s="2" t="b">
        <v>0</v>
      </c>
      <c r="P407" s="2">
        <f t="shared" si="13"/>
        <v>150.13</v>
      </c>
    </row>
    <row r="408" spans="1:16" x14ac:dyDescent="0.35">
      <c r="A408" s="2" t="s">
        <v>836</v>
      </c>
      <c r="B408" s="2" t="s">
        <v>837</v>
      </c>
      <c r="C408" s="3">
        <v>45621</v>
      </c>
      <c r="D408" s="2" t="s">
        <v>27</v>
      </c>
      <c r="E408" s="2" t="s">
        <v>47</v>
      </c>
      <c r="F408" s="2">
        <v>1</v>
      </c>
      <c r="G408" s="2">
        <v>150.13</v>
      </c>
      <c r="H408" s="2">
        <v>150.13</v>
      </c>
      <c r="I408" s="2" t="s">
        <v>13</v>
      </c>
      <c r="J408" s="2" t="str">
        <f t="shared" si="12"/>
        <v>Nov</v>
      </c>
      <c r="K408" s="4">
        <f>IF(AND(ISNUMBER(Lab2_Dataset[[#This Row],[Revenue]]), ISNUMBER(Lab2_Dataset[[#This Row],[Quantity]]), Lab2_Dataset[[#This Row],[Quantity]]&lt;&gt;0), Lab2_Dataset[[#This Row],[Revenue]]/Lab2_Dataset[[#This Row],[Quantity]], "")</f>
        <v>150.13</v>
      </c>
      <c r="O408" s="2" t="b">
        <v>0</v>
      </c>
      <c r="P408" s="2" t="str">
        <f t="shared" si="13"/>
        <v/>
      </c>
    </row>
    <row r="409" spans="1:16" x14ac:dyDescent="0.35">
      <c r="A409" s="2" t="s">
        <v>838</v>
      </c>
      <c r="B409" s="2" t="s">
        <v>839</v>
      </c>
      <c r="C409" s="3">
        <v>45404</v>
      </c>
      <c r="D409" s="2" t="s">
        <v>34</v>
      </c>
      <c r="E409" s="2" t="s">
        <v>47</v>
      </c>
      <c r="G409" s="2">
        <v>27.89</v>
      </c>
      <c r="I409" s="2" t="s">
        <v>13</v>
      </c>
      <c r="J409" s="2" t="str">
        <f t="shared" si="12"/>
        <v>Apr</v>
      </c>
      <c r="K40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09" s="2" t="b">
        <v>1</v>
      </c>
      <c r="P409" s="2">
        <f t="shared" si="13"/>
        <v>225.44</v>
      </c>
    </row>
    <row r="410" spans="1:16" x14ac:dyDescent="0.35">
      <c r="A410" s="2" t="s">
        <v>840</v>
      </c>
      <c r="B410" s="2" t="s">
        <v>841</v>
      </c>
      <c r="C410" s="3">
        <v>45122</v>
      </c>
      <c r="D410" s="2" t="s">
        <v>27</v>
      </c>
      <c r="E410" s="2" t="s">
        <v>12</v>
      </c>
      <c r="F410" s="2">
        <v>2</v>
      </c>
      <c r="G410" s="2">
        <v>112.72</v>
      </c>
      <c r="H410" s="2">
        <v>225.44</v>
      </c>
      <c r="I410" s="2" t="s">
        <v>38</v>
      </c>
      <c r="J410" s="2" t="str">
        <f t="shared" si="12"/>
        <v>Jul</v>
      </c>
      <c r="K410" s="4">
        <f>IF(AND(ISNUMBER(Lab2_Dataset[[#This Row],[Revenue]]), ISNUMBER(Lab2_Dataset[[#This Row],[Quantity]]), Lab2_Dataset[[#This Row],[Quantity]]&lt;&gt;0), Lab2_Dataset[[#This Row],[Revenue]]/Lab2_Dataset[[#This Row],[Quantity]], "")</f>
        <v>112.72</v>
      </c>
      <c r="O410" s="2" t="b">
        <v>0</v>
      </c>
      <c r="P410" s="2" t="str">
        <f t="shared" si="13"/>
        <v/>
      </c>
    </row>
    <row r="411" spans="1:16" x14ac:dyDescent="0.35">
      <c r="A411" s="2" t="s">
        <v>842</v>
      </c>
      <c r="B411" s="2" t="s">
        <v>843</v>
      </c>
      <c r="C411" s="3">
        <v>45250</v>
      </c>
      <c r="D411" s="2" t="s">
        <v>20</v>
      </c>
      <c r="E411" s="2" t="s">
        <v>28</v>
      </c>
      <c r="G411" s="2">
        <v>129.15</v>
      </c>
      <c r="I411" s="2" t="s">
        <v>13</v>
      </c>
      <c r="J411" s="2" t="str">
        <f t="shared" si="12"/>
        <v>Nov</v>
      </c>
      <c r="K41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1" s="2" t="b">
        <v>1</v>
      </c>
      <c r="P411" s="2" t="str">
        <f t="shared" si="13"/>
        <v/>
      </c>
    </row>
    <row r="412" spans="1:16" x14ac:dyDescent="0.35">
      <c r="A412" s="2" t="s">
        <v>844</v>
      </c>
      <c r="B412" s="2" t="s">
        <v>845</v>
      </c>
      <c r="C412" s="3">
        <v>45193</v>
      </c>
      <c r="D412" s="2" t="s">
        <v>20</v>
      </c>
      <c r="E412" s="2" t="s">
        <v>47</v>
      </c>
      <c r="G412" s="2">
        <v>83.23</v>
      </c>
      <c r="I412" s="2" t="s">
        <v>13</v>
      </c>
      <c r="J412" s="2" t="str">
        <f t="shared" si="12"/>
        <v>Sep</v>
      </c>
      <c r="K4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2" s="2" t="b">
        <v>1</v>
      </c>
      <c r="P412" s="2">
        <f t="shared" si="13"/>
        <v>45.21</v>
      </c>
    </row>
    <row r="413" spans="1:16" x14ac:dyDescent="0.35">
      <c r="A413" s="2" t="s">
        <v>846</v>
      </c>
      <c r="B413" s="2" t="s">
        <v>847</v>
      </c>
      <c r="C413" s="3">
        <v>45278</v>
      </c>
      <c r="D413" s="2" t="s">
        <v>11</v>
      </c>
      <c r="E413" s="2" t="s">
        <v>24</v>
      </c>
      <c r="F413" s="2">
        <v>3</v>
      </c>
      <c r="G413" s="2">
        <v>15.07</v>
      </c>
      <c r="H413" s="2">
        <v>45.21</v>
      </c>
      <c r="I413" s="2" t="s">
        <v>31</v>
      </c>
      <c r="J413" s="2" t="str">
        <f t="shared" si="12"/>
        <v>Dec</v>
      </c>
      <c r="K413" s="4">
        <f>IF(AND(ISNUMBER(Lab2_Dataset[[#This Row],[Revenue]]), ISNUMBER(Lab2_Dataset[[#This Row],[Quantity]]), Lab2_Dataset[[#This Row],[Quantity]]&lt;&gt;0), Lab2_Dataset[[#This Row],[Revenue]]/Lab2_Dataset[[#This Row],[Quantity]], "")</f>
        <v>15.07</v>
      </c>
      <c r="O413" s="2" t="b">
        <v>0</v>
      </c>
      <c r="P413" s="2" t="str">
        <f t="shared" si="13"/>
        <v/>
      </c>
    </row>
    <row r="414" spans="1:16" x14ac:dyDescent="0.35">
      <c r="A414" s="2" t="s">
        <v>848</v>
      </c>
      <c r="B414" s="2" t="s">
        <v>849</v>
      </c>
      <c r="C414" s="3">
        <v>45085</v>
      </c>
      <c r="D414" s="2" t="s">
        <v>69</v>
      </c>
      <c r="E414" s="2" t="s">
        <v>28</v>
      </c>
      <c r="G414" s="2">
        <v>20.57</v>
      </c>
      <c r="I414" s="2" t="s">
        <v>21</v>
      </c>
      <c r="J414" s="2" t="str">
        <f t="shared" si="12"/>
        <v>Jun</v>
      </c>
      <c r="K4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4" s="2" t="b">
        <v>1</v>
      </c>
      <c r="P414" s="2" t="str">
        <f t="shared" si="13"/>
        <v/>
      </c>
    </row>
    <row r="415" spans="1:16" x14ac:dyDescent="0.35">
      <c r="A415" s="2" t="s">
        <v>850</v>
      </c>
      <c r="B415" s="2" t="s">
        <v>851</v>
      </c>
      <c r="C415" s="3">
        <v>45201</v>
      </c>
      <c r="D415" s="2" t="s">
        <v>11</v>
      </c>
      <c r="E415" s="2" t="s">
        <v>16</v>
      </c>
      <c r="G415" s="2">
        <v>130.63999999999999</v>
      </c>
      <c r="I415" s="2" t="s">
        <v>38</v>
      </c>
      <c r="J415" s="2" t="str">
        <f t="shared" si="12"/>
        <v>Oct</v>
      </c>
      <c r="K4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5" s="2" t="b">
        <v>1</v>
      </c>
      <c r="P415" s="2" t="str">
        <f t="shared" si="13"/>
        <v/>
      </c>
    </row>
    <row r="416" spans="1:16" x14ac:dyDescent="0.35">
      <c r="A416" s="2" t="s">
        <v>852</v>
      </c>
      <c r="B416" s="2" t="s">
        <v>853</v>
      </c>
      <c r="C416" s="3">
        <v>45193</v>
      </c>
      <c r="D416" s="2" t="s">
        <v>69</v>
      </c>
      <c r="E416" s="2" t="s">
        <v>47</v>
      </c>
      <c r="G416" s="2">
        <v>137.21</v>
      </c>
      <c r="I416" s="2" t="s">
        <v>52</v>
      </c>
      <c r="J416" s="2" t="str">
        <f t="shared" si="12"/>
        <v>Sep</v>
      </c>
      <c r="K41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6" s="2" t="b">
        <v>1</v>
      </c>
      <c r="P416" s="2" t="str">
        <f t="shared" si="13"/>
        <v/>
      </c>
    </row>
    <row r="417" spans="1:16" x14ac:dyDescent="0.35">
      <c r="A417" s="2" t="s">
        <v>854</v>
      </c>
      <c r="B417" s="2" t="s">
        <v>855</v>
      </c>
      <c r="C417" s="3">
        <v>45191</v>
      </c>
      <c r="D417" s="2" t="s">
        <v>20</v>
      </c>
      <c r="E417" s="2" t="s">
        <v>24</v>
      </c>
      <c r="G417" s="2">
        <v>96.69</v>
      </c>
      <c r="I417" s="2" t="s">
        <v>52</v>
      </c>
      <c r="J417" s="2" t="str">
        <f t="shared" si="12"/>
        <v>Sep</v>
      </c>
      <c r="K4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17" s="2" t="b">
        <v>1</v>
      </c>
      <c r="P417" s="2">
        <f t="shared" si="13"/>
        <v>529.29</v>
      </c>
    </row>
    <row r="418" spans="1:16" x14ac:dyDescent="0.35">
      <c r="A418" s="2" t="s">
        <v>856</v>
      </c>
      <c r="B418" s="2" t="s">
        <v>857</v>
      </c>
      <c r="C418" s="3">
        <v>45428</v>
      </c>
      <c r="D418" s="2" t="s">
        <v>20</v>
      </c>
      <c r="E418" s="2" t="s">
        <v>47</v>
      </c>
      <c r="F418" s="2">
        <v>3</v>
      </c>
      <c r="G418" s="2">
        <v>176.43</v>
      </c>
      <c r="H418" s="2">
        <v>529.29</v>
      </c>
      <c r="I418" s="2" t="s">
        <v>52</v>
      </c>
      <c r="J418" s="2" t="str">
        <f t="shared" si="12"/>
        <v>May</v>
      </c>
      <c r="K418" s="4">
        <f>IF(AND(ISNUMBER(Lab2_Dataset[[#This Row],[Revenue]]), ISNUMBER(Lab2_Dataset[[#This Row],[Quantity]]), Lab2_Dataset[[#This Row],[Quantity]]&lt;&gt;0), Lab2_Dataset[[#This Row],[Revenue]]/Lab2_Dataset[[#This Row],[Quantity]], "")</f>
        <v>176.42999999999998</v>
      </c>
      <c r="O418" s="2" t="b">
        <v>0</v>
      </c>
      <c r="P418" s="2">
        <f t="shared" si="13"/>
        <v>841.41</v>
      </c>
    </row>
    <row r="419" spans="1:16" x14ac:dyDescent="0.35">
      <c r="A419" s="2" t="s">
        <v>858</v>
      </c>
      <c r="B419" s="2" t="s">
        <v>859</v>
      </c>
      <c r="C419" s="3">
        <v>45275</v>
      </c>
      <c r="D419" s="2" t="s">
        <v>11</v>
      </c>
      <c r="E419" s="2" t="s">
        <v>47</v>
      </c>
      <c r="F419" s="2">
        <v>9</v>
      </c>
      <c r="G419" s="2">
        <v>93.49</v>
      </c>
      <c r="H419" s="2">
        <v>841.41</v>
      </c>
      <c r="I419" s="2" t="s">
        <v>38</v>
      </c>
      <c r="J419" s="2" t="str">
        <f t="shared" si="12"/>
        <v>Dec</v>
      </c>
      <c r="K419" s="4">
        <f>IF(AND(ISNUMBER(Lab2_Dataset[[#This Row],[Revenue]]), ISNUMBER(Lab2_Dataset[[#This Row],[Quantity]]), Lab2_Dataset[[#This Row],[Quantity]]&lt;&gt;0), Lab2_Dataset[[#This Row],[Revenue]]/Lab2_Dataset[[#This Row],[Quantity]], "")</f>
        <v>93.49</v>
      </c>
      <c r="O419" s="2" t="b">
        <v>0</v>
      </c>
      <c r="P419" s="2">
        <f t="shared" si="13"/>
        <v>1271.76</v>
      </c>
    </row>
    <row r="420" spans="1:16" x14ac:dyDescent="0.35">
      <c r="A420" s="2" t="s">
        <v>860</v>
      </c>
      <c r="B420" s="2" t="s">
        <v>861</v>
      </c>
      <c r="C420" s="3">
        <v>45344</v>
      </c>
      <c r="D420" s="2" t="s">
        <v>20</v>
      </c>
      <c r="E420" s="2" t="s">
        <v>28</v>
      </c>
      <c r="F420" s="2">
        <v>7</v>
      </c>
      <c r="G420" s="2">
        <v>181.68</v>
      </c>
      <c r="H420" s="2">
        <v>1271.76</v>
      </c>
      <c r="I420" s="2" t="s">
        <v>31</v>
      </c>
      <c r="J420" s="2" t="str">
        <f t="shared" si="12"/>
        <v>Feb</v>
      </c>
      <c r="K420" s="4">
        <f>IF(AND(ISNUMBER(Lab2_Dataset[[#This Row],[Revenue]]), ISNUMBER(Lab2_Dataset[[#This Row],[Quantity]]), Lab2_Dataset[[#This Row],[Quantity]]&lt;&gt;0), Lab2_Dataset[[#This Row],[Revenue]]/Lab2_Dataset[[#This Row],[Quantity]], "")</f>
        <v>181.68</v>
      </c>
      <c r="O420" s="2" t="b">
        <v>0</v>
      </c>
      <c r="P420" s="2">
        <f t="shared" si="13"/>
        <v>265.64</v>
      </c>
    </row>
    <row r="421" spans="1:16" x14ac:dyDescent="0.35">
      <c r="A421" s="2" t="s">
        <v>862</v>
      </c>
      <c r="B421" s="2" t="s">
        <v>863</v>
      </c>
      <c r="C421" s="3">
        <v>45131</v>
      </c>
      <c r="D421" s="2" t="s">
        <v>11</v>
      </c>
      <c r="E421" s="2" t="s">
        <v>24</v>
      </c>
      <c r="F421" s="2">
        <v>4</v>
      </c>
      <c r="G421" s="2">
        <v>66.41</v>
      </c>
      <c r="H421" s="2">
        <v>265.64</v>
      </c>
      <c r="I421" s="2" t="s">
        <v>52</v>
      </c>
      <c r="J421" s="2" t="str">
        <f t="shared" si="12"/>
        <v>Jul</v>
      </c>
      <c r="K421" s="4">
        <f>IF(AND(ISNUMBER(Lab2_Dataset[[#This Row],[Revenue]]), ISNUMBER(Lab2_Dataset[[#This Row],[Quantity]]), Lab2_Dataset[[#This Row],[Quantity]]&lt;&gt;0), Lab2_Dataset[[#This Row],[Revenue]]/Lab2_Dataset[[#This Row],[Quantity]], "")</f>
        <v>66.41</v>
      </c>
      <c r="O421" s="2" t="b">
        <v>0</v>
      </c>
      <c r="P421" s="2">
        <f t="shared" si="13"/>
        <v>120.15</v>
      </c>
    </row>
    <row r="422" spans="1:16" x14ac:dyDescent="0.35">
      <c r="A422" s="2" t="s">
        <v>864</v>
      </c>
      <c r="B422" s="2" t="s">
        <v>865</v>
      </c>
      <c r="C422" s="3">
        <v>45080</v>
      </c>
      <c r="D422" s="2" t="s">
        <v>37</v>
      </c>
      <c r="E422" s="2" t="s">
        <v>24</v>
      </c>
      <c r="F422" s="2">
        <v>5</v>
      </c>
      <c r="G422" s="2">
        <v>24.03</v>
      </c>
      <c r="H422" s="2">
        <v>120.15</v>
      </c>
      <c r="I422" s="2" t="s">
        <v>31</v>
      </c>
      <c r="J422" s="2" t="str">
        <f t="shared" si="12"/>
        <v>Jun</v>
      </c>
      <c r="K422" s="4">
        <f>IF(AND(ISNUMBER(Lab2_Dataset[[#This Row],[Revenue]]), ISNUMBER(Lab2_Dataset[[#This Row],[Quantity]]), Lab2_Dataset[[#This Row],[Quantity]]&lt;&gt;0), Lab2_Dataset[[#This Row],[Revenue]]/Lab2_Dataset[[#This Row],[Quantity]], "")</f>
        <v>24.03</v>
      </c>
      <c r="O422" s="2" t="b">
        <v>0</v>
      </c>
      <c r="P422" s="2" t="str">
        <f t="shared" si="13"/>
        <v/>
      </c>
    </row>
    <row r="423" spans="1:16" x14ac:dyDescent="0.35">
      <c r="A423" s="2" t="s">
        <v>866</v>
      </c>
      <c r="B423" s="2" t="s">
        <v>867</v>
      </c>
      <c r="C423" s="3">
        <v>45571</v>
      </c>
      <c r="D423" s="2" t="s">
        <v>11</v>
      </c>
      <c r="E423" s="2" t="s">
        <v>28</v>
      </c>
      <c r="G423" s="2">
        <v>160.74</v>
      </c>
      <c r="I423" s="2" t="s">
        <v>13</v>
      </c>
      <c r="J423" s="2" t="str">
        <f t="shared" si="12"/>
        <v>Oct</v>
      </c>
      <c r="K42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3" s="2" t="b">
        <v>1</v>
      </c>
      <c r="P423" s="2" t="str">
        <f t="shared" si="13"/>
        <v/>
      </c>
    </row>
    <row r="424" spans="1:16" x14ac:dyDescent="0.35">
      <c r="A424" s="2" t="s">
        <v>868</v>
      </c>
      <c r="B424" s="2" t="s">
        <v>869</v>
      </c>
      <c r="C424" s="3">
        <v>45715</v>
      </c>
      <c r="D424" s="2" t="s">
        <v>27</v>
      </c>
      <c r="E424" s="2" t="s">
        <v>12</v>
      </c>
      <c r="G424" s="2">
        <v>23.31</v>
      </c>
      <c r="I424" s="2" t="s">
        <v>38</v>
      </c>
      <c r="J424" s="2" t="str">
        <f t="shared" si="12"/>
        <v>Feb</v>
      </c>
      <c r="K4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4" s="2" t="b">
        <v>1</v>
      </c>
      <c r="P424" s="2" t="str">
        <f t="shared" si="13"/>
        <v/>
      </c>
    </row>
    <row r="425" spans="1:16" x14ac:dyDescent="0.35">
      <c r="A425" s="2" t="s">
        <v>870</v>
      </c>
      <c r="B425" s="2" t="s">
        <v>871</v>
      </c>
      <c r="C425" s="3">
        <v>45662</v>
      </c>
      <c r="D425" s="2" t="s">
        <v>69</v>
      </c>
      <c r="E425" s="2" t="s">
        <v>47</v>
      </c>
      <c r="G425" s="2">
        <v>157.71</v>
      </c>
      <c r="I425" s="2" t="s">
        <v>31</v>
      </c>
      <c r="J425" s="2" t="str">
        <f t="shared" si="12"/>
        <v>Jan</v>
      </c>
      <c r="K4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5" s="2" t="b">
        <v>1</v>
      </c>
      <c r="P425" s="2">
        <f t="shared" si="13"/>
        <v>721.62000000000012</v>
      </c>
    </row>
    <row r="426" spans="1:16" x14ac:dyDescent="0.35">
      <c r="A426" s="2" t="s">
        <v>872</v>
      </c>
      <c r="B426" s="2" t="s">
        <v>873</v>
      </c>
      <c r="C426" s="3">
        <v>45632</v>
      </c>
      <c r="D426" s="2" t="s">
        <v>69</v>
      </c>
      <c r="E426" s="2" t="s">
        <v>16</v>
      </c>
      <c r="F426" s="2">
        <v>9</v>
      </c>
      <c r="G426" s="2">
        <v>80.180000000000007</v>
      </c>
      <c r="H426" s="2">
        <v>721.62</v>
      </c>
      <c r="I426" s="2" t="s">
        <v>17</v>
      </c>
      <c r="J426" s="2" t="str">
        <f t="shared" si="12"/>
        <v>Dec</v>
      </c>
      <c r="K426" s="4">
        <f>IF(AND(ISNUMBER(Lab2_Dataset[[#This Row],[Revenue]]), ISNUMBER(Lab2_Dataset[[#This Row],[Quantity]]), Lab2_Dataset[[#This Row],[Quantity]]&lt;&gt;0), Lab2_Dataset[[#This Row],[Revenue]]/Lab2_Dataset[[#This Row],[Quantity]], "")</f>
        <v>80.180000000000007</v>
      </c>
      <c r="O426" s="2" t="b">
        <v>0</v>
      </c>
      <c r="P426" s="2" t="str">
        <f t="shared" si="13"/>
        <v/>
      </c>
    </row>
    <row r="427" spans="1:16" x14ac:dyDescent="0.35">
      <c r="A427" s="2" t="s">
        <v>874</v>
      </c>
      <c r="B427" s="2" t="s">
        <v>875</v>
      </c>
      <c r="C427" s="3">
        <v>45341</v>
      </c>
      <c r="D427" s="2" t="s">
        <v>20</v>
      </c>
      <c r="E427" s="2" t="s">
        <v>47</v>
      </c>
      <c r="G427" s="2">
        <v>15.6</v>
      </c>
      <c r="I427" s="2" t="s">
        <v>21</v>
      </c>
      <c r="J427" s="2" t="str">
        <f t="shared" si="12"/>
        <v>Feb</v>
      </c>
      <c r="K42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7" s="2" t="b">
        <v>1</v>
      </c>
      <c r="P427" s="2" t="str">
        <f t="shared" si="13"/>
        <v/>
      </c>
    </row>
    <row r="428" spans="1:16" x14ac:dyDescent="0.35">
      <c r="A428" s="2" t="s">
        <v>876</v>
      </c>
      <c r="B428" s="2" t="s">
        <v>877</v>
      </c>
      <c r="C428" s="3">
        <v>45589</v>
      </c>
      <c r="D428" s="2" t="s">
        <v>37</v>
      </c>
      <c r="E428" s="2" t="s">
        <v>16</v>
      </c>
      <c r="G428" s="2">
        <v>103.55</v>
      </c>
      <c r="I428" s="2" t="s">
        <v>52</v>
      </c>
      <c r="J428" s="2" t="str">
        <f t="shared" si="12"/>
        <v>Oct</v>
      </c>
      <c r="K4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8" s="2" t="b">
        <v>1</v>
      </c>
      <c r="P428" s="2" t="str">
        <f t="shared" si="13"/>
        <v/>
      </c>
    </row>
    <row r="429" spans="1:16" x14ac:dyDescent="0.35">
      <c r="A429" s="2" t="s">
        <v>878</v>
      </c>
      <c r="B429" s="2" t="s">
        <v>879</v>
      </c>
      <c r="C429" s="3">
        <v>45142</v>
      </c>
      <c r="D429" s="2" t="s">
        <v>20</v>
      </c>
      <c r="E429" s="2" t="s">
        <v>16</v>
      </c>
      <c r="G429" s="2">
        <v>115.52</v>
      </c>
      <c r="I429" s="2" t="s">
        <v>31</v>
      </c>
      <c r="J429" s="2" t="str">
        <f t="shared" si="12"/>
        <v>Aug</v>
      </c>
      <c r="K4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29" s="2" t="b">
        <v>1</v>
      </c>
      <c r="P429" s="2">
        <f t="shared" si="13"/>
        <v>315.10000000000002</v>
      </c>
    </row>
    <row r="430" spans="1:16" x14ac:dyDescent="0.35">
      <c r="A430" s="2" t="s">
        <v>880</v>
      </c>
      <c r="B430" s="2" t="s">
        <v>881</v>
      </c>
      <c r="C430" s="3">
        <v>45101</v>
      </c>
      <c r="D430" s="2" t="s">
        <v>69</v>
      </c>
      <c r="E430" s="2" t="s">
        <v>24</v>
      </c>
      <c r="F430" s="2">
        <v>5</v>
      </c>
      <c r="G430" s="2">
        <v>63.02</v>
      </c>
      <c r="H430" s="2">
        <v>315.10000000000002</v>
      </c>
      <c r="I430" s="2" t="s">
        <v>17</v>
      </c>
      <c r="J430" s="2" t="str">
        <f t="shared" si="12"/>
        <v>Jun</v>
      </c>
      <c r="K430" s="4">
        <f>IF(AND(ISNUMBER(Lab2_Dataset[[#This Row],[Revenue]]), ISNUMBER(Lab2_Dataset[[#This Row],[Quantity]]), Lab2_Dataset[[#This Row],[Quantity]]&lt;&gt;0), Lab2_Dataset[[#This Row],[Revenue]]/Lab2_Dataset[[#This Row],[Quantity]], "")</f>
        <v>63.02</v>
      </c>
      <c r="O430" s="2" t="b">
        <v>0</v>
      </c>
      <c r="P430" s="2">
        <f t="shared" si="13"/>
        <v>620.1</v>
      </c>
    </row>
    <row r="431" spans="1:16" x14ac:dyDescent="0.35">
      <c r="A431" s="2" t="s">
        <v>882</v>
      </c>
      <c r="B431" s="2" t="s">
        <v>883</v>
      </c>
      <c r="C431" s="3">
        <v>45708</v>
      </c>
      <c r="D431" s="2" t="s">
        <v>11</v>
      </c>
      <c r="E431" s="2" t="s">
        <v>16</v>
      </c>
      <c r="F431" s="2">
        <v>9</v>
      </c>
      <c r="G431" s="2">
        <v>68.900000000000006</v>
      </c>
      <c r="H431" s="2">
        <v>620.1</v>
      </c>
      <c r="I431" s="2" t="s">
        <v>17</v>
      </c>
      <c r="J431" s="2" t="str">
        <f t="shared" si="12"/>
        <v>Feb</v>
      </c>
      <c r="K431" s="4">
        <f>IF(AND(ISNUMBER(Lab2_Dataset[[#This Row],[Revenue]]), ISNUMBER(Lab2_Dataset[[#This Row],[Quantity]]), Lab2_Dataset[[#This Row],[Quantity]]&lt;&gt;0), Lab2_Dataset[[#This Row],[Revenue]]/Lab2_Dataset[[#This Row],[Quantity]], "")</f>
        <v>68.900000000000006</v>
      </c>
      <c r="O431" s="2" t="b">
        <v>0</v>
      </c>
      <c r="P431" s="2" t="str">
        <f t="shared" si="13"/>
        <v/>
      </c>
    </row>
    <row r="432" spans="1:16" x14ac:dyDescent="0.35">
      <c r="A432" s="2" t="s">
        <v>884</v>
      </c>
      <c r="B432" s="2" t="s">
        <v>885</v>
      </c>
      <c r="C432" s="3">
        <v>45330</v>
      </c>
      <c r="D432" s="2" t="s">
        <v>69</v>
      </c>
      <c r="E432" s="2" t="s">
        <v>47</v>
      </c>
      <c r="G432" s="2">
        <v>70.06</v>
      </c>
      <c r="I432" s="2" t="s">
        <v>31</v>
      </c>
      <c r="J432" s="2" t="str">
        <f t="shared" si="12"/>
        <v>Feb</v>
      </c>
      <c r="K4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32" s="2" t="b">
        <v>1</v>
      </c>
      <c r="P432" s="2" t="str">
        <f t="shared" si="13"/>
        <v/>
      </c>
    </row>
    <row r="433" spans="1:16" x14ac:dyDescent="0.35">
      <c r="A433" s="2" t="s">
        <v>886</v>
      </c>
      <c r="B433" s="2" t="s">
        <v>887</v>
      </c>
      <c r="C433" s="3">
        <v>45496</v>
      </c>
      <c r="D433" s="2" t="s">
        <v>34</v>
      </c>
      <c r="E433" s="2" t="s">
        <v>28</v>
      </c>
      <c r="G433" s="2">
        <v>75.53</v>
      </c>
      <c r="I433" s="2" t="s">
        <v>17</v>
      </c>
      <c r="J433" s="2" t="str">
        <f t="shared" si="12"/>
        <v>Jul</v>
      </c>
      <c r="K4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33" s="2" t="b">
        <v>1</v>
      </c>
      <c r="P433" s="2">
        <f t="shared" si="13"/>
        <v>19.100000000000001</v>
      </c>
    </row>
    <row r="434" spans="1:16" x14ac:dyDescent="0.35">
      <c r="A434" s="2" t="s">
        <v>888</v>
      </c>
      <c r="B434" s="2" t="s">
        <v>889</v>
      </c>
      <c r="C434" s="3">
        <v>45744</v>
      </c>
      <c r="D434" s="2" t="s">
        <v>11</v>
      </c>
      <c r="E434" s="2" t="s">
        <v>24</v>
      </c>
      <c r="F434" s="2">
        <v>1</v>
      </c>
      <c r="G434" s="2">
        <v>19.100000000000001</v>
      </c>
      <c r="H434" s="2">
        <v>19.100000000000001</v>
      </c>
      <c r="I434" s="2" t="s">
        <v>52</v>
      </c>
      <c r="J434" s="2" t="str">
        <f t="shared" si="12"/>
        <v>Mar</v>
      </c>
      <c r="K434" s="4">
        <f>IF(AND(ISNUMBER(Lab2_Dataset[[#This Row],[Revenue]]), ISNUMBER(Lab2_Dataset[[#This Row],[Quantity]]), Lab2_Dataset[[#This Row],[Quantity]]&lt;&gt;0), Lab2_Dataset[[#This Row],[Revenue]]/Lab2_Dataset[[#This Row],[Quantity]], "")</f>
        <v>19.100000000000001</v>
      </c>
      <c r="O434" s="2" t="b">
        <v>0</v>
      </c>
      <c r="P434" s="2">
        <f t="shared" si="13"/>
        <v>48.150000000000006</v>
      </c>
    </row>
    <row r="435" spans="1:16" x14ac:dyDescent="0.35">
      <c r="A435" s="2" t="s">
        <v>890</v>
      </c>
      <c r="B435" s="2" t="s">
        <v>891</v>
      </c>
      <c r="C435" s="3">
        <v>45065</v>
      </c>
      <c r="D435" s="2" t="s">
        <v>37</v>
      </c>
      <c r="E435" s="2" t="s">
        <v>24</v>
      </c>
      <c r="F435" s="2">
        <v>3</v>
      </c>
      <c r="G435" s="2">
        <v>16.05</v>
      </c>
      <c r="I435" s="2" t="s">
        <v>13</v>
      </c>
      <c r="J435" s="2" t="str">
        <f t="shared" si="12"/>
        <v>May</v>
      </c>
      <c r="K4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35" s="2" t="b">
        <v>0</v>
      </c>
      <c r="P435" s="2" t="str">
        <f t="shared" si="13"/>
        <v/>
      </c>
    </row>
    <row r="436" spans="1:16" x14ac:dyDescent="0.35">
      <c r="A436" s="2" t="s">
        <v>892</v>
      </c>
      <c r="B436" s="2" t="s">
        <v>893</v>
      </c>
      <c r="C436" s="3">
        <v>45339</v>
      </c>
      <c r="D436" s="2" t="s">
        <v>20</v>
      </c>
      <c r="E436" s="2" t="s">
        <v>12</v>
      </c>
      <c r="G436" s="2">
        <v>122.81</v>
      </c>
      <c r="I436" s="2" t="s">
        <v>13</v>
      </c>
      <c r="J436" s="2" t="str">
        <f t="shared" si="12"/>
        <v>Feb</v>
      </c>
      <c r="K4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36" s="2" t="b">
        <v>1</v>
      </c>
      <c r="P436" s="2">
        <f t="shared" si="13"/>
        <v>99.36</v>
      </c>
    </row>
    <row r="437" spans="1:16" x14ac:dyDescent="0.35">
      <c r="A437" s="2" t="s">
        <v>894</v>
      </c>
      <c r="B437" s="2" t="s">
        <v>895</v>
      </c>
      <c r="C437" s="3">
        <v>45741</v>
      </c>
      <c r="D437" s="2" t="s">
        <v>34</v>
      </c>
      <c r="E437" s="2" t="s">
        <v>47</v>
      </c>
      <c r="F437" s="2">
        <v>2</v>
      </c>
      <c r="G437" s="2">
        <v>49.68</v>
      </c>
      <c r="H437" s="2">
        <v>99.36</v>
      </c>
      <c r="I437" s="2" t="s">
        <v>21</v>
      </c>
      <c r="J437" s="2" t="str">
        <f t="shared" si="12"/>
        <v>Mar</v>
      </c>
      <c r="K437" s="4">
        <f>IF(AND(ISNUMBER(Lab2_Dataset[[#This Row],[Revenue]]), ISNUMBER(Lab2_Dataset[[#This Row],[Quantity]]), Lab2_Dataset[[#This Row],[Quantity]]&lt;&gt;0), Lab2_Dataset[[#This Row],[Revenue]]/Lab2_Dataset[[#This Row],[Quantity]], "")</f>
        <v>49.68</v>
      </c>
      <c r="O437" s="2" t="b">
        <v>0</v>
      </c>
      <c r="P437" s="2">
        <f t="shared" si="13"/>
        <v>145.75</v>
      </c>
    </row>
    <row r="438" spans="1:16" x14ac:dyDescent="0.35">
      <c r="A438" s="2" t="s">
        <v>896</v>
      </c>
      <c r="B438" s="2" t="s">
        <v>897</v>
      </c>
      <c r="C438" s="3">
        <v>45429</v>
      </c>
      <c r="D438" s="2" t="s">
        <v>20</v>
      </c>
      <c r="E438" s="2" t="s">
        <v>12</v>
      </c>
      <c r="F438" s="2">
        <v>1</v>
      </c>
      <c r="G438" s="2">
        <v>145.75</v>
      </c>
      <c r="H438" s="2">
        <v>145.75</v>
      </c>
      <c r="I438" s="2" t="s">
        <v>38</v>
      </c>
      <c r="J438" s="2" t="str">
        <f t="shared" si="12"/>
        <v>May</v>
      </c>
      <c r="K438" s="4">
        <f>IF(AND(ISNUMBER(Lab2_Dataset[[#This Row],[Revenue]]), ISNUMBER(Lab2_Dataset[[#This Row],[Quantity]]), Lab2_Dataset[[#This Row],[Quantity]]&lt;&gt;0), Lab2_Dataset[[#This Row],[Revenue]]/Lab2_Dataset[[#This Row],[Quantity]], "")</f>
        <v>145.75</v>
      </c>
      <c r="O438" s="2" t="b">
        <v>0</v>
      </c>
      <c r="P438" s="2" t="str">
        <f t="shared" si="13"/>
        <v/>
      </c>
    </row>
    <row r="439" spans="1:16" x14ac:dyDescent="0.35">
      <c r="A439" s="2" t="s">
        <v>898</v>
      </c>
      <c r="B439" s="2" t="s">
        <v>899</v>
      </c>
      <c r="C439" s="3">
        <v>45653</v>
      </c>
      <c r="D439" s="2" t="s">
        <v>69</v>
      </c>
      <c r="E439" s="2" t="s">
        <v>24</v>
      </c>
      <c r="G439" s="2">
        <v>103.18</v>
      </c>
      <c r="I439" s="2" t="s">
        <v>31</v>
      </c>
      <c r="J439" s="2" t="str">
        <f t="shared" si="12"/>
        <v>Dec</v>
      </c>
      <c r="K4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39" s="2" t="b">
        <v>1</v>
      </c>
      <c r="P439" s="2">
        <f t="shared" si="13"/>
        <v>1379.44</v>
      </c>
    </row>
    <row r="440" spans="1:16" x14ac:dyDescent="0.35">
      <c r="A440" s="2" t="s">
        <v>900</v>
      </c>
      <c r="B440" s="2" t="s">
        <v>901</v>
      </c>
      <c r="C440" s="3">
        <v>45634</v>
      </c>
      <c r="D440" s="2" t="s">
        <v>37</v>
      </c>
      <c r="E440" s="2" t="s">
        <v>47</v>
      </c>
      <c r="F440" s="2">
        <v>8</v>
      </c>
      <c r="G440" s="2">
        <v>172.43</v>
      </c>
      <c r="H440" s="2">
        <v>1379.44</v>
      </c>
      <c r="I440" s="2" t="s">
        <v>21</v>
      </c>
      <c r="J440" s="2" t="str">
        <f t="shared" si="12"/>
        <v>Dec</v>
      </c>
      <c r="K440" s="4">
        <f>IF(AND(ISNUMBER(Lab2_Dataset[[#This Row],[Revenue]]), ISNUMBER(Lab2_Dataset[[#This Row],[Quantity]]), Lab2_Dataset[[#This Row],[Quantity]]&lt;&gt;0), Lab2_Dataset[[#This Row],[Revenue]]/Lab2_Dataset[[#This Row],[Quantity]], "")</f>
        <v>172.43</v>
      </c>
      <c r="O440" s="2" t="b">
        <v>0</v>
      </c>
      <c r="P440" s="2">
        <f t="shared" si="13"/>
        <v>249.13000000000002</v>
      </c>
    </row>
    <row r="441" spans="1:16" x14ac:dyDescent="0.35">
      <c r="A441" s="2" t="s">
        <v>902</v>
      </c>
      <c r="B441" s="2" t="s">
        <v>903</v>
      </c>
      <c r="C441" s="3">
        <v>45497</v>
      </c>
      <c r="D441" s="2" t="s">
        <v>69</v>
      </c>
      <c r="E441" s="2" t="s">
        <v>28</v>
      </c>
      <c r="F441" s="2">
        <v>7</v>
      </c>
      <c r="G441" s="2">
        <v>35.590000000000003</v>
      </c>
      <c r="H441" s="2">
        <v>249.13</v>
      </c>
      <c r="I441" s="2" t="s">
        <v>21</v>
      </c>
      <c r="J441" s="2" t="str">
        <f t="shared" si="12"/>
        <v>Jul</v>
      </c>
      <c r="K441" s="4">
        <f>IF(AND(ISNUMBER(Lab2_Dataset[[#This Row],[Revenue]]), ISNUMBER(Lab2_Dataset[[#This Row],[Quantity]]), Lab2_Dataset[[#This Row],[Quantity]]&lt;&gt;0), Lab2_Dataset[[#This Row],[Revenue]]/Lab2_Dataset[[#This Row],[Quantity]], "")</f>
        <v>35.589999999999996</v>
      </c>
      <c r="O441" s="2" t="b">
        <v>0</v>
      </c>
      <c r="P441" s="2" t="str">
        <f t="shared" si="13"/>
        <v/>
      </c>
    </row>
    <row r="442" spans="1:16" x14ac:dyDescent="0.35">
      <c r="A442" s="2" t="s">
        <v>904</v>
      </c>
      <c r="B442" s="2" t="s">
        <v>905</v>
      </c>
      <c r="C442" s="3">
        <v>45210</v>
      </c>
      <c r="D442" s="2" t="s">
        <v>20</v>
      </c>
      <c r="E442" s="2" t="s">
        <v>16</v>
      </c>
      <c r="G442" s="2">
        <v>108.53</v>
      </c>
      <c r="I442" s="2" t="s">
        <v>17</v>
      </c>
      <c r="J442" s="2" t="str">
        <f t="shared" si="12"/>
        <v>Oct</v>
      </c>
      <c r="K4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2" s="2" t="b">
        <v>1</v>
      </c>
      <c r="P442" s="2" t="str">
        <f t="shared" si="13"/>
        <v/>
      </c>
    </row>
    <row r="443" spans="1:16" x14ac:dyDescent="0.35">
      <c r="A443" s="2" t="s">
        <v>906</v>
      </c>
      <c r="B443" s="2" t="s">
        <v>907</v>
      </c>
      <c r="C443" s="3">
        <v>45050</v>
      </c>
      <c r="D443" s="2" t="s">
        <v>34</v>
      </c>
      <c r="E443" s="2" t="s">
        <v>28</v>
      </c>
      <c r="G443" s="2">
        <v>161.02000000000001</v>
      </c>
      <c r="I443" s="2" t="s">
        <v>17</v>
      </c>
      <c r="J443" s="2" t="str">
        <f t="shared" si="12"/>
        <v>May</v>
      </c>
      <c r="K4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3" s="2" t="b">
        <v>1</v>
      </c>
      <c r="P443" s="2" t="str">
        <f t="shared" si="13"/>
        <v/>
      </c>
    </row>
    <row r="444" spans="1:16" x14ac:dyDescent="0.35">
      <c r="A444" s="2" t="s">
        <v>908</v>
      </c>
      <c r="B444" s="2" t="s">
        <v>909</v>
      </c>
      <c r="C444" s="3">
        <v>45368</v>
      </c>
      <c r="D444" s="2" t="s">
        <v>27</v>
      </c>
      <c r="E444" s="2" t="s">
        <v>24</v>
      </c>
      <c r="G444" s="2">
        <v>79.63</v>
      </c>
      <c r="I444" s="2" t="s">
        <v>31</v>
      </c>
      <c r="J444" s="2" t="str">
        <f t="shared" si="12"/>
        <v>Mar</v>
      </c>
      <c r="K4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4" s="2" t="b">
        <v>1</v>
      </c>
      <c r="P444" s="2" t="str">
        <f t="shared" si="13"/>
        <v/>
      </c>
    </row>
    <row r="445" spans="1:16" x14ac:dyDescent="0.35">
      <c r="A445" s="2" t="s">
        <v>910</v>
      </c>
      <c r="B445" s="2" t="s">
        <v>911</v>
      </c>
      <c r="C445" s="3">
        <v>45481</v>
      </c>
      <c r="D445" s="2" t="s">
        <v>20</v>
      </c>
      <c r="E445" s="2" t="s">
        <v>16</v>
      </c>
      <c r="G445" s="2">
        <v>76.58</v>
      </c>
      <c r="I445" s="2" t="s">
        <v>31</v>
      </c>
      <c r="J445" s="2" t="str">
        <f t="shared" si="12"/>
        <v>Jul</v>
      </c>
      <c r="K44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5" s="2" t="b">
        <v>1</v>
      </c>
      <c r="P445" s="2" t="str">
        <f t="shared" si="13"/>
        <v/>
      </c>
    </row>
    <row r="446" spans="1:16" x14ac:dyDescent="0.35">
      <c r="A446" s="2" t="s">
        <v>912</v>
      </c>
      <c r="B446" s="2" t="s">
        <v>913</v>
      </c>
      <c r="C446" s="3">
        <v>45362</v>
      </c>
      <c r="D446" s="2" t="s">
        <v>11</v>
      </c>
      <c r="E446" s="2" t="s">
        <v>24</v>
      </c>
      <c r="G446" s="2">
        <v>48.08</v>
      </c>
      <c r="I446" s="2" t="s">
        <v>13</v>
      </c>
      <c r="J446" s="2" t="str">
        <f t="shared" si="12"/>
        <v>Mar</v>
      </c>
      <c r="K44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6" s="2" t="b">
        <v>1</v>
      </c>
      <c r="P446" s="2">
        <f t="shared" si="13"/>
        <v>259.95000000000005</v>
      </c>
    </row>
    <row r="447" spans="1:16" x14ac:dyDescent="0.35">
      <c r="A447" s="2" t="s">
        <v>914</v>
      </c>
      <c r="B447" s="2" t="s">
        <v>915</v>
      </c>
      <c r="C447" s="3">
        <v>45175</v>
      </c>
      <c r="D447" s="2" t="s">
        <v>20</v>
      </c>
      <c r="E447" s="2" t="s">
        <v>28</v>
      </c>
      <c r="F447" s="2">
        <v>3</v>
      </c>
      <c r="G447" s="2">
        <v>86.65</v>
      </c>
      <c r="H447" s="2">
        <v>259.95</v>
      </c>
      <c r="I447" s="2" t="s">
        <v>17</v>
      </c>
      <c r="J447" s="2" t="str">
        <f t="shared" si="12"/>
        <v>Sep</v>
      </c>
      <c r="K447" s="4">
        <f>IF(AND(ISNUMBER(Lab2_Dataset[[#This Row],[Revenue]]), ISNUMBER(Lab2_Dataset[[#This Row],[Quantity]]), Lab2_Dataset[[#This Row],[Quantity]]&lt;&gt;0), Lab2_Dataset[[#This Row],[Revenue]]/Lab2_Dataset[[#This Row],[Quantity]], "")</f>
        <v>86.649999999999991</v>
      </c>
      <c r="O447" s="2" t="b">
        <v>0</v>
      </c>
      <c r="P447" s="2" t="str">
        <f t="shared" si="13"/>
        <v/>
      </c>
    </row>
    <row r="448" spans="1:16" x14ac:dyDescent="0.35">
      <c r="A448" s="2" t="s">
        <v>916</v>
      </c>
      <c r="B448" s="2" t="s">
        <v>917</v>
      </c>
      <c r="C448" s="3">
        <v>45336</v>
      </c>
      <c r="D448" s="2" t="s">
        <v>69</v>
      </c>
      <c r="E448" s="2" t="s">
        <v>24</v>
      </c>
      <c r="G448" s="2">
        <v>21.01</v>
      </c>
      <c r="I448" s="2" t="s">
        <v>17</v>
      </c>
      <c r="J448" s="2" t="str">
        <f t="shared" si="12"/>
        <v>Feb</v>
      </c>
      <c r="K4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48" s="2" t="b">
        <v>1</v>
      </c>
      <c r="P448" s="2">
        <f t="shared" si="13"/>
        <v>93.6</v>
      </c>
    </row>
    <row r="449" spans="1:16" x14ac:dyDescent="0.35">
      <c r="A449" s="2" t="s">
        <v>918</v>
      </c>
      <c r="B449" s="2" t="s">
        <v>919</v>
      </c>
      <c r="C449" s="3">
        <v>45245</v>
      </c>
      <c r="D449" s="2" t="s">
        <v>69</v>
      </c>
      <c r="E449" s="2" t="s">
        <v>24</v>
      </c>
      <c r="F449" s="2">
        <v>1</v>
      </c>
      <c r="G449" s="2">
        <v>93.6</v>
      </c>
      <c r="H449" s="2">
        <v>93.6</v>
      </c>
      <c r="I449" s="2" t="s">
        <v>13</v>
      </c>
      <c r="J449" s="2" t="str">
        <f t="shared" si="12"/>
        <v>Nov</v>
      </c>
      <c r="K449" s="4">
        <f>IF(AND(ISNUMBER(Lab2_Dataset[[#This Row],[Revenue]]), ISNUMBER(Lab2_Dataset[[#This Row],[Quantity]]), Lab2_Dataset[[#This Row],[Quantity]]&lt;&gt;0), Lab2_Dataset[[#This Row],[Revenue]]/Lab2_Dataset[[#This Row],[Quantity]], "")</f>
        <v>93.6</v>
      </c>
      <c r="O449" s="2" t="b">
        <v>0</v>
      </c>
      <c r="P449" s="2" t="str">
        <f t="shared" si="13"/>
        <v/>
      </c>
    </row>
    <row r="450" spans="1:16" x14ac:dyDescent="0.35">
      <c r="A450" s="2" t="s">
        <v>920</v>
      </c>
      <c r="B450" s="2" t="s">
        <v>921</v>
      </c>
      <c r="C450" s="3">
        <v>45462</v>
      </c>
      <c r="D450" s="2" t="s">
        <v>20</v>
      </c>
      <c r="E450" s="2" t="s">
        <v>12</v>
      </c>
      <c r="G450" s="2">
        <v>129.53</v>
      </c>
      <c r="I450" s="2" t="s">
        <v>52</v>
      </c>
      <c r="J450" s="2" t="str">
        <f t="shared" ref="J450:J513" si="14">TEXT(C450,"mmm")</f>
        <v>Jun</v>
      </c>
      <c r="K45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0" s="2" t="b">
        <v>1</v>
      </c>
      <c r="P450" s="2">
        <f t="shared" si="13"/>
        <v>151.36000000000001</v>
      </c>
    </row>
    <row r="451" spans="1:16" x14ac:dyDescent="0.35">
      <c r="A451" s="2" t="s">
        <v>922</v>
      </c>
      <c r="B451" s="2" t="s">
        <v>923</v>
      </c>
      <c r="C451" s="3">
        <v>45708</v>
      </c>
      <c r="D451" s="2" t="s">
        <v>69</v>
      </c>
      <c r="E451" s="2" t="s">
        <v>24</v>
      </c>
      <c r="F451" s="2">
        <v>4</v>
      </c>
      <c r="G451" s="2">
        <v>37.840000000000003</v>
      </c>
      <c r="H451" s="2">
        <v>151.36000000000001</v>
      </c>
      <c r="I451" s="2" t="s">
        <v>17</v>
      </c>
      <c r="J451" s="2" t="str">
        <f t="shared" si="14"/>
        <v>Feb</v>
      </c>
      <c r="K451" s="4">
        <f>IF(AND(ISNUMBER(Lab2_Dataset[[#This Row],[Revenue]]), ISNUMBER(Lab2_Dataset[[#This Row],[Quantity]]), Lab2_Dataset[[#This Row],[Quantity]]&lt;&gt;0), Lab2_Dataset[[#This Row],[Revenue]]/Lab2_Dataset[[#This Row],[Quantity]], "")</f>
        <v>37.840000000000003</v>
      </c>
      <c r="O451" s="2" t="b">
        <v>0</v>
      </c>
      <c r="P451" s="2">
        <f t="shared" ref="P451:P514" si="15">IF(O452=TRUE,"",F452*G452)</f>
        <v>1776.33</v>
      </c>
    </row>
    <row r="452" spans="1:16" x14ac:dyDescent="0.35">
      <c r="A452" s="2" t="s">
        <v>924</v>
      </c>
      <c r="B452" s="2" t="s">
        <v>925</v>
      </c>
      <c r="C452" s="3">
        <v>45310</v>
      </c>
      <c r="D452" s="2" t="s">
        <v>34</v>
      </c>
      <c r="E452" s="2" t="s">
        <v>16</v>
      </c>
      <c r="F452" s="2">
        <v>9</v>
      </c>
      <c r="G452" s="2">
        <v>197.37</v>
      </c>
      <c r="H452" s="2">
        <v>1776.33</v>
      </c>
      <c r="I452" s="2" t="s">
        <v>38</v>
      </c>
      <c r="J452" s="2" t="str">
        <f t="shared" si="14"/>
        <v>Jan</v>
      </c>
      <c r="K452" s="4">
        <f>IF(AND(ISNUMBER(Lab2_Dataset[[#This Row],[Revenue]]), ISNUMBER(Lab2_Dataset[[#This Row],[Quantity]]), Lab2_Dataset[[#This Row],[Quantity]]&lt;&gt;0), Lab2_Dataset[[#This Row],[Revenue]]/Lab2_Dataset[[#This Row],[Quantity]], "")</f>
        <v>197.37</v>
      </c>
      <c r="O452" s="2" t="b">
        <v>0</v>
      </c>
      <c r="P452" s="2">
        <f t="shared" si="15"/>
        <v>1170.6600000000001</v>
      </c>
    </row>
    <row r="453" spans="1:16" x14ac:dyDescent="0.35">
      <c r="A453" s="2" t="s">
        <v>926</v>
      </c>
      <c r="B453" s="2" t="s">
        <v>927</v>
      </c>
      <c r="C453" s="3">
        <v>45633</v>
      </c>
      <c r="D453" s="2" t="s">
        <v>69</v>
      </c>
      <c r="E453" s="2" t="s">
        <v>12</v>
      </c>
      <c r="F453" s="2">
        <v>6</v>
      </c>
      <c r="G453" s="2">
        <v>195.11</v>
      </c>
      <c r="H453" s="2">
        <v>1170.6600000000001</v>
      </c>
      <c r="I453" s="2" t="s">
        <v>31</v>
      </c>
      <c r="J453" s="2" t="str">
        <f t="shared" si="14"/>
        <v>Dec</v>
      </c>
      <c r="K453" s="4">
        <f>IF(AND(ISNUMBER(Lab2_Dataset[[#This Row],[Revenue]]), ISNUMBER(Lab2_Dataset[[#This Row],[Quantity]]), Lab2_Dataset[[#This Row],[Quantity]]&lt;&gt;0), Lab2_Dataset[[#This Row],[Revenue]]/Lab2_Dataset[[#This Row],[Quantity]], "")</f>
        <v>195.11</v>
      </c>
      <c r="O453" s="2" t="b">
        <v>0</v>
      </c>
      <c r="P453" s="2">
        <f t="shared" si="15"/>
        <v>349.92</v>
      </c>
    </row>
    <row r="454" spans="1:16" x14ac:dyDescent="0.35">
      <c r="A454" s="2" t="s">
        <v>928</v>
      </c>
      <c r="B454" s="2" t="s">
        <v>929</v>
      </c>
      <c r="C454" s="3">
        <v>45114</v>
      </c>
      <c r="D454" s="2" t="s">
        <v>27</v>
      </c>
      <c r="E454" s="2" t="s">
        <v>16</v>
      </c>
      <c r="F454" s="2">
        <v>3</v>
      </c>
      <c r="G454" s="2">
        <v>116.64</v>
      </c>
      <c r="H454" s="2">
        <v>349.92</v>
      </c>
      <c r="I454" s="2" t="s">
        <v>17</v>
      </c>
      <c r="J454" s="2" t="str">
        <f t="shared" si="14"/>
        <v>Jul</v>
      </c>
      <c r="K454" s="4">
        <f>IF(AND(ISNUMBER(Lab2_Dataset[[#This Row],[Revenue]]), ISNUMBER(Lab2_Dataset[[#This Row],[Quantity]]), Lab2_Dataset[[#This Row],[Quantity]]&lt;&gt;0), Lab2_Dataset[[#This Row],[Revenue]]/Lab2_Dataset[[#This Row],[Quantity]], "")</f>
        <v>116.64</v>
      </c>
      <c r="O454" s="2" t="b">
        <v>0</v>
      </c>
      <c r="P454" s="2" t="str">
        <f t="shared" si="15"/>
        <v/>
      </c>
    </row>
    <row r="455" spans="1:16" x14ac:dyDescent="0.35">
      <c r="A455" s="2" t="s">
        <v>930</v>
      </c>
      <c r="B455" s="2" t="s">
        <v>931</v>
      </c>
      <c r="C455" s="3">
        <v>45506</v>
      </c>
      <c r="D455" s="2" t="s">
        <v>37</v>
      </c>
      <c r="E455" s="2" t="s">
        <v>47</v>
      </c>
      <c r="G455" s="2">
        <v>58.8</v>
      </c>
      <c r="I455" s="2" t="s">
        <v>38</v>
      </c>
      <c r="J455" s="2" t="str">
        <f t="shared" si="14"/>
        <v>Aug</v>
      </c>
      <c r="K4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5" s="2" t="b">
        <v>1</v>
      </c>
      <c r="P455" s="2" t="str">
        <f t="shared" si="15"/>
        <v/>
      </c>
    </row>
    <row r="456" spans="1:16" x14ac:dyDescent="0.35">
      <c r="A456" s="2" t="s">
        <v>932</v>
      </c>
      <c r="B456" s="2" t="s">
        <v>933</v>
      </c>
      <c r="C456" s="3">
        <v>45434</v>
      </c>
      <c r="D456" s="2" t="s">
        <v>20</v>
      </c>
      <c r="E456" s="2" t="s">
        <v>16</v>
      </c>
      <c r="G456" s="2">
        <v>57.27</v>
      </c>
      <c r="I456" s="2" t="s">
        <v>21</v>
      </c>
      <c r="J456" s="2" t="str">
        <f t="shared" si="14"/>
        <v>May</v>
      </c>
      <c r="K45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6" s="2" t="b">
        <v>1</v>
      </c>
      <c r="P456" s="2">
        <f t="shared" si="15"/>
        <v>678.42</v>
      </c>
    </row>
    <row r="457" spans="1:16" x14ac:dyDescent="0.35">
      <c r="A457" s="2" t="s">
        <v>934</v>
      </c>
      <c r="B457" s="2" t="s">
        <v>935</v>
      </c>
      <c r="C457" s="3">
        <v>45221</v>
      </c>
      <c r="D457" s="2" t="s">
        <v>11</v>
      </c>
      <c r="E457" s="2" t="s">
        <v>12</v>
      </c>
      <c r="F457" s="2">
        <v>9</v>
      </c>
      <c r="G457" s="2">
        <v>75.38</v>
      </c>
      <c r="H457" s="2">
        <v>678.42</v>
      </c>
      <c r="I457" s="2" t="s">
        <v>17</v>
      </c>
      <c r="J457" s="2" t="str">
        <f t="shared" si="14"/>
        <v>Oct</v>
      </c>
      <c r="K457" s="4">
        <f>IF(AND(ISNUMBER(Lab2_Dataset[[#This Row],[Revenue]]), ISNUMBER(Lab2_Dataset[[#This Row],[Quantity]]), Lab2_Dataset[[#This Row],[Quantity]]&lt;&gt;0), Lab2_Dataset[[#This Row],[Revenue]]/Lab2_Dataset[[#This Row],[Quantity]], "")</f>
        <v>75.38</v>
      </c>
      <c r="O457" s="2" t="b">
        <v>0</v>
      </c>
      <c r="P457" s="2" t="str">
        <f t="shared" si="15"/>
        <v/>
      </c>
    </row>
    <row r="458" spans="1:16" x14ac:dyDescent="0.35">
      <c r="A458" s="2" t="s">
        <v>936</v>
      </c>
      <c r="B458" s="2" t="s">
        <v>937</v>
      </c>
      <c r="C458" s="3">
        <v>45112</v>
      </c>
      <c r="D458" s="2" t="s">
        <v>20</v>
      </c>
      <c r="E458" s="2" t="s">
        <v>28</v>
      </c>
      <c r="G458" s="2">
        <v>135.96</v>
      </c>
      <c r="I458" s="2" t="s">
        <v>31</v>
      </c>
      <c r="J458" s="2" t="str">
        <f t="shared" si="14"/>
        <v>Jul</v>
      </c>
      <c r="K45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8" s="2" t="b">
        <v>1</v>
      </c>
      <c r="P458" s="2" t="str">
        <f t="shared" si="15"/>
        <v/>
      </c>
    </row>
    <row r="459" spans="1:16" x14ac:dyDescent="0.35">
      <c r="A459" s="2" t="s">
        <v>938</v>
      </c>
      <c r="B459" s="2" t="s">
        <v>939</v>
      </c>
      <c r="C459" s="3">
        <v>45764</v>
      </c>
      <c r="D459" s="2" t="s">
        <v>11</v>
      </c>
      <c r="E459" s="2" t="s">
        <v>47</v>
      </c>
      <c r="G459" s="2">
        <v>161.69</v>
      </c>
      <c r="I459" s="2" t="s">
        <v>31</v>
      </c>
      <c r="J459" s="2" t="str">
        <f t="shared" si="14"/>
        <v>Apr</v>
      </c>
      <c r="K4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59" s="2" t="b">
        <v>1</v>
      </c>
      <c r="P459" s="2">
        <f t="shared" si="15"/>
        <v>1269.24</v>
      </c>
    </row>
    <row r="460" spans="1:16" x14ac:dyDescent="0.35">
      <c r="A460" s="2" t="s">
        <v>940</v>
      </c>
      <c r="B460" s="2" t="s">
        <v>941</v>
      </c>
      <c r="C460" s="3">
        <v>45393</v>
      </c>
      <c r="D460" s="2" t="s">
        <v>69</v>
      </c>
      <c r="E460" s="2" t="s">
        <v>28</v>
      </c>
      <c r="F460" s="2">
        <v>7</v>
      </c>
      <c r="G460" s="2">
        <v>181.32</v>
      </c>
      <c r="H460" s="2">
        <v>1269.24</v>
      </c>
      <c r="I460" s="2" t="s">
        <v>31</v>
      </c>
      <c r="J460" s="2" t="str">
        <f t="shared" si="14"/>
        <v>Apr</v>
      </c>
      <c r="K460" s="4">
        <f>IF(AND(ISNUMBER(Lab2_Dataset[[#This Row],[Revenue]]), ISNUMBER(Lab2_Dataset[[#This Row],[Quantity]]), Lab2_Dataset[[#This Row],[Quantity]]&lt;&gt;0), Lab2_Dataset[[#This Row],[Revenue]]/Lab2_Dataset[[#This Row],[Quantity]], "")</f>
        <v>181.32</v>
      </c>
      <c r="O460" s="2" t="b">
        <v>0</v>
      </c>
      <c r="P460" s="2" t="str">
        <f t="shared" si="15"/>
        <v/>
      </c>
    </row>
    <row r="461" spans="1:16" x14ac:dyDescent="0.35">
      <c r="A461" s="2" t="s">
        <v>942</v>
      </c>
      <c r="B461" s="2" t="s">
        <v>943</v>
      </c>
      <c r="C461" s="3">
        <v>45187</v>
      </c>
      <c r="D461" s="2" t="s">
        <v>34</v>
      </c>
      <c r="E461" s="2" t="s">
        <v>12</v>
      </c>
      <c r="G461" s="2">
        <v>116.29</v>
      </c>
      <c r="I461" s="2" t="s">
        <v>21</v>
      </c>
      <c r="J461" s="2" t="str">
        <f t="shared" si="14"/>
        <v>Sep</v>
      </c>
      <c r="K46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61" s="2" t="b">
        <v>1</v>
      </c>
      <c r="P461" s="2">
        <f t="shared" si="15"/>
        <v>232.77</v>
      </c>
    </row>
    <row r="462" spans="1:16" x14ac:dyDescent="0.35">
      <c r="A462" s="2" t="s">
        <v>944</v>
      </c>
      <c r="B462" s="2" t="s">
        <v>945</v>
      </c>
      <c r="C462" s="3">
        <v>45768</v>
      </c>
      <c r="D462" s="2" t="s">
        <v>34</v>
      </c>
      <c r="E462" s="2" t="s">
        <v>47</v>
      </c>
      <c r="F462" s="2">
        <v>3</v>
      </c>
      <c r="G462" s="2">
        <v>77.59</v>
      </c>
      <c r="H462" s="2">
        <v>232.77</v>
      </c>
      <c r="I462" s="2" t="s">
        <v>21</v>
      </c>
      <c r="J462" s="2" t="str">
        <f t="shared" si="14"/>
        <v>Apr</v>
      </c>
      <c r="K462" s="4">
        <f>IF(AND(ISNUMBER(Lab2_Dataset[[#This Row],[Revenue]]), ISNUMBER(Lab2_Dataset[[#This Row],[Quantity]]), Lab2_Dataset[[#This Row],[Quantity]]&lt;&gt;0), Lab2_Dataset[[#This Row],[Revenue]]/Lab2_Dataset[[#This Row],[Quantity]], "")</f>
        <v>77.59</v>
      </c>
      <c r="O462" s="2" t="b">
        <v>0</v>
      </c>
      <c r="P462" s="2">
        <f t="shared" si="15"/>
        <v>744.65000000000009</v>
      </c>
    </row>
    <row r="463" spans="1:16" x14ac:dyDescent="0.35">
      <c r="A463" s="2" t="s">
        <v>946</v>
      </c>
      <c r="B463" s="2" t="s">
        <v>947</v>
      </c>
      <c r="C463" s="3">
        <v>45092</v>
      </c>
      <c r="D463" s="2" t="s">
        <v>37</v>
      </c>
      <c r="E463" s="2" t="s">
        <v>16</v>
      </c>
      <c r="F463" s="2">
        <v>5</v>
      </c>
      <c r="G463" s="2">
        <v>148.93</v>
      </c>
      <c r="H463" s="2">
        <v>744.65</v>
      </c>
      <c r="I463" s="2" t="s">
        <v>17</v>
      </c>
      <c r="J463" s="2" t="str">
        <f t="shared" si="14"/>
        <v>Jun</v>
      </c>
      <c r="K463" s="4">
        <f>IF(AND(ISNUMBER(Lab2_Dataset[[#This Row],[Revenue]]), ISNUMBER(Lab2_Dataset[[#This Row],[Quantity]]), Lab2_Dataset[[#This Row],[Quantity]]&lt;&gt;0), Lab2_Dataset[[#This Row],[Revenue]]/Lab2_Dataset[[#This Row],[Quantity]], "")</f>
        <v>148.93</v>
      </c>
      <c r="O463" s="2" t="b">
        <v>0</v>
      </c>
      <c r="P463" s="2">
        <f t="shared" si="15"/>
        <v>408.1</v>
      </c>
    </row>
    <row r="464" spans="1:16" x14ac:dyDescent="0.35">
      <c r="A464" s="2" t="s">
        <v>948</v>
      </c>
      <c r="B464" s="2" t="s">
        <v>949</v>
      </c>
      <c r="C464" s="3">
        <v>45539</v>
      </c>
      <c r="D464" s="2" t="s">
        <v>27</v>
      </c>
      <c r="E464" s="2" t="s">
        <v>16</v>
      </c>
      <c r="F464" s="2">
        <v>5</v>
      </c>
      <c r="G464" s="2">
        <v>81.62</v>
      </c>
      <c r="H464" s="2">
        <v>408.1</v>
      </c>
      <c r="I464" s="2" t="s">
        <v>21</v>
      </c>
      <c r="J464" s="2" t="str">
        <f t="shared" si="14"/>
        <v>Sep</v>
      </c>
      <c r="K464" s="4">
        <f>IF(AND(ISNUMBER(Lab2_Dataset[[#This Row],[Revenue]]), ISNUMBER(Lab2_Dataset[[#This Row],[Quantity]]), Lab2_Dataset[[#This Row],[Quantity]]&lt;&gt;0), Lab2_Dataset[[#This Row],[Revenue]]/Lab2_Dataset[[#This Row],[Quantity]], "")</f>
        <v>81.62</v>
      </c>
      <c r="O464" s="2" t="b">
        <v>0</v>
      </c>
      <c r="P464" s="2">
        <f t="shared" si="15"/>
        <v>431.70000000000005</v>
      </c>
    </row>
    <row r="465" spans="1:16" x14ac:dyDescent="0.35">
      <c r="A465" s="2" t="s">
        <v>950</v>
      </c>
      <c r="B465" s="2" t="s">
        <v>567</v>
      </c>
      <c r="C465" s="3">
        <v>45131</v>
      </c>
      <c r="D465" s="2" t="s">
        <v>34</v>
      </c>
      <c r="E465" s="2" t="s">
        <v>24</v>
      </c>
      <c r="F465" s="2">
        <v>3</v>
      </c>
      <c r="G465" s="2">
        <v>143.9</v>
      </c>
      <c r="H465" s="2">
        <v>431.7</v>
      </c>
      <c r="I465" s="2" t="s">
        <v>52</v>
      </c>
      <c r="J465" s="2" t="str">
        <f t="shared" si="14"/>
        <v>Jul</v>
      </c>
      <c r="K465" s="4">
        <f>IF(AND(ISNUMBER(Lab2_Dataset[[#This Row],[Revenue]]), ISNUMBER(Lab2_Dataset[[#This Row],[Quantity]]), Lab2_Dataset[[#This Row],[Quantity]]&lt;&gt;0), Lab2_Dataset[[#This Row],[Revenue]]/Lab2_Dataset[[#This Row],[Quantity]], "")</f>
        <v>143.9</v>
      </c>
      <c r="O465" s="2" t="b">
        <v>0</v>
      </c>
      <c r="P465" s="2" t="str">
        <f t="shared" si="15"/>
        <v/>
      </c>
    </row>
    <row r="466" spans="1:16" x14ac:dyDescent="0.35">
      <c r="A466" s="2" t="s">
        <v>951</v>
      </c>
      <c r="B466" s="2" t="s">
        <v>952</v>
      </c>
      <c r="C466" s="3">
        <v>45193</v>
      </c>
      <c r="D466" s="2" t="s">
        <v>11</v>
      </c>
      <c r="E466" s="2" t="s">
        <v>28</v>
      </c>
      <c r="G466" s="2">
        <v>100.26</v>
      </c>
      <c r="I466" s="2" t="s">
        <v>52</v>
      </c>
      <c r="J466" s="2" t="str">
        <f t="shared" si="14"/>
        <v>Sep</v>
      </c>
      <c r="K4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66" s="2" t="b">
        <v>1</v>
      </c>
      <c r="P466" s="2" t="str">
        <f t="shared" si="15"/>
        <v/>
      </c>
    </row>
    <row r="467" spans="1:16" x14ac:dyDescent="0.35">
      <c r="A467" s="2" t="s">
        <v>953</v>
      </c>
      <c r="B467" s="2" t="s">
        <v>954</v>
      </c>
      <c r="C467" s="3">
        <v>45315</v>
      </c>
      <c r="D467" s="2" t="s">
        <v>20</v>
      </c>
      <c r="E467" s="2" t="s">
        <v>24</v>
      </c>
      <c r="G467" s="2">
        <v>25.24</v>
      </c>
      <c r="I467" s="2" t="s">
        <v>21</v>
      </c>
      <c r="J467" s="2" t="str">
        <f t="shared" si="14"/>
        <v>Jan</v>
      </c>
      <c r="K46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67" s="2" t="b">
        <v>1</v>
      </c>
      <c r="P467" s="2">
        <f t="shared" si="15"/>
        <v>988.75</v>
      </c>
    </row>
    <row r="468" spans="1:16" x14ac:dyDescent="0.35">
      <c r="A468" s="2" t="s">
        <v>955</v>
      </c>
      <c r="B468" s="2" t="s">
        <v>956</v>
      </c>
      <c r="C468" s="3">
        <v>45738</v>
      </c>
      <c r="D468" s="2" t="s">
        <v>34</v>
      </c>
      <c r="E468" s="2" t="s">
        <v>16</v>
      </c>
      <c r="F468" s="2">
        <v>5</v>
      </c>
      <c r="G468" s="2">
        <v>197.75</v>
      </c>
      <c r="H468" s="2">
        <v>988.75</v>
      </c>
      <c r="I468" s="2" t="s">
        <v>52</v>
      </c>
      <c r="J468" s="2" t="str">
        <f t="shared" si="14"/>
        <v>Mar</v>
      </c>
      <c r="K468" s="4">
        <f>IF(AND(ISNUMBER(Lab2_Dataset[[#This Row],[Revenue]]), ISNUMBER(Lab2_Dataset[[#This Row],[Quantity]]), Lab2_Dataset[[#This Row],[Quantity]]&lt;&gt;0), Lab2_Dataset[[#This Row],[Revenue]]/Lab2_Dataset[[#This Row],[Quantity]], "")</f>
        <v>197.75</v>
      </c>
      <c r="O468" s="2" t="b">
        <v>0</v>
      </c>
      <c r="P468" s="2" t="str">
        <f t="shared" si="15"/>
        <v/>
      </c>
    </row>
    <row r="469" spans="1:16" x14ac:dyDescent="0.35">
      <c r="A469" s="2" t="s">
        <v>957</v>
      </c>
      <c r="B469" s="2" t="s">
        <v>958</v>
      </c>
      <c r="C469" s="3">
        <v>45303</v>
      </c>
      <c r="D469" s="2" t="s">
        <v>11</v>
      </c>
      <c r="E469" s="2" t="s">
        <v>12</v>
      </c>
      <c r="G469" s="2">
        <v>25.86</v>
      </c>
      <c r="I469" s="2" t="s">
        <v>38</v>
      </c>
      <c r="J469" s="2" t="str">
        <f t="shared" si="14"/>
        <v>Jan</v>
      </c>
      <c r="K4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69" s="2" t="b">
        <v>1</v>
      </c>
      <c r="P469" s="2">
        <f t="shared" si="15"/>
        <v>155.80000000000001</v>
      </c>
    </row>
    <row r="470" spans="1:16" x14ac:dyDescent="0.35">
      <c r="A470" s="2" t="s">
        <v>959</v>
      </c>
      <c r="B470" s="2" t="s">
        <v>960</v>
      </c>
      <c r="C470" s="3">
        <v>45383</v>
      </c>
      <c r="D470" s="2" t="s">
        <v>11</v>
      </c>
      <c r="E470" s="2" t="s">
        <v>12</v>
      </c>
      <c r="F470" s="2">
        <v>5</v>
      </c>
      <c r="G470" s="2">
        <v>31.16</v>
      </c>
      <c r="H470" s="2">
        <v>155.80000000000001</v>
      </c>
      <c r="I470" s="2" t="s">
        <v>52</v>
      </c>
      <c r="J470" s="2" t="str">
        <f t="shared" si="14"/>
        <v>Apr</v>
      </c>
      <c r="K470" s="4">
        <f>IF(AND(ISNUMBER(Lab2_Dataset[[#This Row],[Revenue]]), ISNUMBER(Lab2_Dataset[[#This Row],[Quantity]]), Lab2_Dataset[[#This Row],[Quantity]]&lt;&gt;0), Lab2_Dataset[[#This Row],[Revenue]]/Lab2_Dataset[[#This Row],[Quantity]], "")</f>
        <v>31.160000000000004</v>
      </c>
      <c r="O470" s="2" t="b">
        <v>0</v>
      </c>
      <c r="P470" s="2">
        <f t="shared" si="15"/>
        <v>103.32</v>
      </c>
    </row>
    <row r="471" spans="1:16" x14ac:dyDescent="0.35">
      <c r="A471" s="2" t="s">
        <v>961</v>
      </c>
      <c r="B471" s="2" t="s">
        <v>962</v>
      </c>
      <c r="C471" s="3">
        <v>45193</v>
      </c>
      <c r="D471" s="2" t="s">
        <v>37</v>
      </c>
      <c r="E471" s="2" t="s">
        <v>24</v>
      </c>
      <c r="F471" s="2">
        <v>7</v>
      </c>
      <c r="G471" s="2">
        <v>14.76</v>
      </c>
      <c r="H471" s="2">
        <v>103.32</v>
      </c>
      <c r="I471" s="2" t="s">
        <v>21</v>
      </c>
      <c r="J471" s="2" t="str">
        <f t="shared" si="14"/>
        <v>Sep</v>
      </c>
      <c r="K471" s="4">
        <f>IF(AND(ISNUMBER(Lab2_Dataset[[#This Row],[Revenue]]), ISNUMBER(Lab2_Dataset[[#This Row],[Quantity]]), Lab2_Dataset[[#This Row],[Quantity]]&lt;&gt;0), Lab2_Dataset[[#This Row],[Revenue]]/Lab2_Dataset[[#This Row],[Quantity]], "")</f>
        <v>14.76</v>
      </c>
      <c r="O471" s="2" t="b">
        <v>0</v>
      </c>
      <c r="P471" s="2" t="str">
        <f t="shared" si="15"/>
        <v/>
      </c>
    </row>
    <row r="472" spans="1:16" x14ac:dyDescent="0.35">
      <c r="A472" s="2" t="s">
        <v>963</v>
      </c>
      <c r="B472" s="2" t="s">
        <v>964</v>
      </c>
      <c r="C472" s="3">
        <v>45406</v>
      </c>
      <c r="D472" s="2" t="s">
        <v>34</v>
      </c>
      <c r="E472" s="2" t="s">
        <v>28</v>
      </c>
      <c r="G472" s="2">
        <v>88.57</v>
      </c>
      <c r="I472" s="2" t="s">
        <v>38</v>
      </c>
      <c r="J472" s="2" t="str">
        <f t="shared" si="14"/>
        <v>Apr</v>
      </c>
      <c r="K4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72" s="2" t="b">
        <v>1</v>
      </c>
      <c r="P472" s="2" t="str">
        <f t="shared" si="15"/>
        <v/>
      </c>
    </row>
    <row r="473" spans="1:16" x14ac:dyDescent="0.35">
      <c r="A473" s="2" t="s">
        <v>965</v>
      </c>
      <c r="B473" s="2" t="s">
        <v>966</v>
      </c>
      <c r="C473" s="3">
        <v>45284</v>
      </c>
      <c r="D473" s="2" t="s">
        <v>11</v>
      </c>
      <c r="E473" s="2" t="s">
        <v>12</v>
      </c>
      <c r="G473" s="2">
        <v>70.599999999999994</v>
      </c>
      <c r="I473" s="2" t="s">
        <v>38</v>
      </c>
      <c r="J473" s="2" t="str">
        <f t="shared" si="14"/>
        <v>Dec</v>
      </c>
      <c r="K4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73" s="2" t="b">
        <v>1</v>
      </c>
      <c r="P473" s="2">
        <f t="shared" si="15"/>
        <v>114.94999999999999</v>
      </c>
    </row>
    <row r="474" spans="1:16" x14ac:dyDescent="0.35">
      <c r="A474" s="2" t="s">
        <v>967</v>
      </c>
      <c r="B474" s="2" t="s">
        <v>968</v>
      </c>
      <c r="C474" s="3">
        <v>45159</v>
      </c>
      <c r="D474" s="2" t="s">
        <v>27</v>
      </c>
      <c r="E474" s="2" t="s">
        <v>12</v>
      </c>
      <c r="F474" s="2">
        <v>5</v>
      </c>
      <c r="G474" s="2">
        <v>22.99</v>
      </c>
      <c r="H474" s="2">
        <v>114.95</v>
      </c>
      <c r="I474" s="2" t="s">
        <v>17</v>
      </c>
      <c r="J474" s="2" t="str">
        <f t="shared" si="14"/>
        <v>Aug</v>
      </c>
      <c r="K474" s="4">
        <f>IF(AND(ISNUMBER(Lab2_Dataset[[#This Row],[Revenue]]), ISNUMBER(Lab2_Dataset[[#This Row],[Quantity]]), Lab2_Dataset[[#This Row],[Quantity]]&lt;&gt;0), Lab2_Dataset[[#This Row],[Revenue]]/Lab2_Dataset[[#This Row],[Quantity]], "")</f>
        <v>22.990000000000002</v>
      </c>
      <c r="O474" s="2" t="b">
        <v>0</v>
      </c>
      <c r="P474" s="2">
        <f t="shared" si="15"/>
        <v>1213.9399999999998</v>
      </c>
    </row>
    <row r="475" spans="1:16" x14ac:dyDescent="0.35">
      <c r="A475" s="2" t="s">
        <v>969</v>
      </c>
      <c r="B475" s="2" t="s">
        <v>970</v>
      </c>
      <c r="C475" s="3">
        <v>45399</v>
      </c>
      <c r="D475" s="2" t="s">
        <v>34</v>
      </c>
      <c r="E475" s="2" t="s">
        <v>24</v>
      </c>
      <c r="F475" s="2">
        <v>7</v>
      </c>
      <c r="G475" s="2">
        <v>173.42</v>
      </c>
      <c r="H475" s="2">
        <v>1213.94</v>
      </c>
      <c r="I475" s="2" t="s">
        <v>21</v>
      </c>
      <c r="J475" s="2" t="str">
        <f t="shared" si="14"/>
        <v>Apr</v>
      </c>
      <c r="K475" s="4">
        <f>IF(AND(ISNUMBER(Lab2_Dataset[[#This Row],[Revenue]]), ISNUMBER(Lab2_Dataset[[#This Row],[Quantity]]), Lab2_Dataset[[#This Row],[Quantity]]&lt;&gt;0), Lab2_Dataset[[#This Row],[Revenue]]/Lab2_Dataset[[#This Row],[Quantity]], "")</f>
        <v>173.42000000000002</v>
      </c>
      <c r="O475" s="2" t="b">
        <v>0</v>
      </c>
      <c r="P475" s="2">
        <f t="shared" si="15"/>
        <v>879.15000000000009</v>
      </c>
    </row>
    <row r="476" spans="1:16" x14ac:dyDescent="0.35">
      <c r="A476" s="2" t="s">
        <v>971</v>
      </c>
      <c r="B476" s="2" t="s">
        <v>972</v>
      </c>
      <c r="C476" s="3">
        <v>45367</v>
      </c>
      <c r="D476" s="2" t="s">
        <v>37</v>
      </c>
      <c r="E476" s="2" t="s">
        <v>28</v>
      </c>
      <c r="F476" s="2">
        <v>5</v>
      </c>
      <c r="G476" s="2">
        <v>175.83</v>
      </c>
      <c r="H476" s="2">
        <v>879.15</v>
      </c>
      <c r="I476" s="2" t="s">
        <v>52</v>
      </c>
      <c r="J476" s="2" t="str">
        <f t="shared" si="14"/>
        <v>Mar</v>
      </c>
      <c r="K476" s="4">
        <f>IF(AND(ISNUMBER(Lab2_Dataset[[#This Row],[Revenue]]), ISNUMBER(Lab2_Dataset[[#This Row],[Quantity]]), Lab2_Dataset[[#This Row],[Quantity]]&lt;&gt;0), Lab2_Dataset[[#This Row],[Revenue]]/Lab2_Dataset[[#This Row],[Quantity]], "")</f>
        <v>175.82999999999998</v>
      </c>
      <c r="O476" s="2" t="b">
        <v>0</v>
      </c>
      <c r="P476" s="2">
        <f t="shared" si="15"/>
        <v>229.29000000000002</v>
      </c>
    </row>
    <row r="477" spans="1:16" x14ac:dyDescent="0.35">
      <c r="A477" s="2" t="s">
        <v>973</v>
      </c>
      <c r="B477" s="2" t="s">
        <v>974</v>
      </c>
      <c r="C477" s="3">
        <v>45445</v>
      </c>
      <c r="D477" s="2" t="s">
        <v>27</v>
      </c>
      <c r="E477" s="2" t="s">
        <v>12</v>
      </c>
      <c r="F477" s="2">
        <v>3</v>
      </c>
      <c r="G477" s="2">
        <v>76.430000000000007</v>
      </c>
      <c r="H477" s="2">
        <v>229.29</v>
      </c>
      <c r="I477" s="2" t="s">
        <v>38</v>
      </c>
      <c r="J477" s="2" t="str">
        <f t="shared" si="14"/>
        <v>Jun</v>
      </c>
      <c r="K477" s="4">
        <f>IF(AND(ISNUMBER(Lab2_Dataset[[#This Row],[Revenue]]), ISNUMBER(Lab2_Dataset[[#This Row],[Quantity]]), Lab2_Dataset[[#This Row],[Quantity]]&lt;&gt;0), Lab2_Dataset[[#This Row],[Revenue]]/Lab2_Dataset[[#This Row],[Quantity]], "")</f>
        <v>76.429999999999993</v>
      </c>
      <c r="O477" s="2" t="b">
        <v>0</v>
      </c>
      <c r="P477" s="2" t="str">
        <f t="shared" si="15"/>
        <v/>
      </c>
    </row>
    <row r="478" spans="1:16" x14ac:dyDescent="0.35">
      <c r="A478" s="2" t="s">
        <v>975</v>
      </c>
      <c r="B478" s="2" t="s">
        <v>976</v>
      </c>
      <c r="C478" s="3">
        <v>45291</v>
      </c>
      <c r="D478" s="2" t="s">
        <v>11</v>
      </c>
      <c r="E478" s="2" t="s">
        <v>28</v>
      </c>
      <c r="G478" s="2">
        <v>134.51</v>
      </c>
      <c r="I478" s="2" t="s">
        <v>13</v>
      </c>
      <c r="J478" s="2" t="str">
        <f t="shared" si="14"/>
        <v>Dec</v>
      </c>
      <c r="K47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78" s="2" t="b">
        <v>1</v>
      </c>
      <c r="P478" s="2">
        <f t="shared" si="15"/>
        <v>209.44</v>
      </c>
    </row>
    <row r="479" spans="1:16" x14ac:dyDescent="0.35">
      <c r="A479" s="2" t="s">
        <v>977</v>
      </c>
      <c r="B479" s="2" t="s">
        <v>978</v>
      </c>
      <c r="C479" s="3">
        <v>45680</v>
      </c>
      <c r="D479" s="2" t="s">
        <v>20</v>
      </c>
      <c r="E479" s="2" t="s">
        <v>28</v>
      </c>
      <c r="F479" s="2">
        <v>2</v>
      </c>
      <c r="G479" s="2">
        <v>104.72</v>
      </c>
      <c r="H479" s="2">
        <v>209.44</v>
      </c>
      <c r="I479" s="2" t="s">
        <v>17</v>
      </c>
      <c r="J479" s="2" t="str">
        <f t="shared" si="14"/>
        <v>Jan</v>
      </c>
      <c r="K479" s="4">
        <f>IF(AND(ISNUMBER(Lab2_Dataset[[#This Row],[Revenue]]), ISNUMBER(Lab2_Dataset[[#This Row],[Quantity]]), Lab2_Dataset[[#This Row],[Quantity]]&lt;&gt;0), Lab2_Dataset[[#This Row],[Revenue]]/Lab2_Dataset[[#This Row],[Quantity]], "")</f>
        <v>104.72</v>
      </c>
      <c r="O479" s="2" t="b">
        <v>0</v>
      </c>
      <c r="P479" s="2">
        <f t="shared" si="15"/>
        <v>125.55</v>
      </c>
    </row>
    <row r="480" spans="1:16" x14ac:dyDescent="0.35">
      <c r="A480" s="2" t="s">
        <v>979</v>
      </c>
      <c r="B480" s="2" t="s">
        <v>980</v>
      </c>
      <c r="C480" s="3">
        <v>45706</v>
      </c>
      <c r="D480" s="2" t="s">
        <v>37</v>
      </c>
      <c r="E480" s="2" t="s">
        <v>12</v>
      </c>
      <c r="F480" s="2">
        <v>9</v>
      </c>
      <c r="G480" s="2">
        <v>13.95</v>
      </c>
      <c r="H480" s="2">
        <v>125.55</v>
      </c>
      <c r="I480" s="2" t="s">
        <v>31</v>
      </c>
      <c r="J480" s="2" t="str">
        <f t="shared" si="14"/>
        <v>Feb</v>
      </c>
      <c r="K480" s="4">
        <f>IF(AND(ISNUMBER(Lab2_Dataset[[#This Row],[Revenue]]), ISNUMBER(Lab2_Dataset[[#This Row],[Quantity]]), Lab2_Dataset[[#This Row],[Quantity]]&lt;&gt;0), Lab2_Dataset[[#This Row],[Revenue]]/Lab2_Dataset[[#This Row],[Quantity]], "")</f>
        <v>13.95</v>
      </c>
      <c r="O480" s="2" t="b">
        <v>0</v>
      </c>
      <c r="P480" s="2" t="str">
        <f t="shared" si="15"/>
        <v/>
      </c>
    </row>
    <row r="481" spans="1:16" x14ac:dyDescent="0.35">
      <c r="A481" s="2" t="s">
        <v>981</v>
      </c>
      <c r="B481" s="2" t="s">
        <v>982</v>
      </c>
      <c r="C481" s="3">
        <v>45285</v>
      </c>
      <c r="D481" s="2" t="s">
        <v>37</v>
      </c>
      <c r="E481" s="2" t="s">
        <v>16</v>
      </c>
      <c r="G481" s="2">
        <v>12.68</v>
      </c>
      <c r="I481" s="2" t="s">
        <v>21</v>
      </c>
      <c r="J481" s="2" t="str">
        <f t="shared" si="14"/>
        <v>Dec</v>
      </c>
      <c r="K4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1" s="2" t="b">
        <v>1</v>
      </c>
      <c r="P481" s="2">
        <f t="shared" si="15"/>
        <v>1018.98</v>
      </c>
    </row>
    <row r="482" spans="1:16" x14ac:dyDescent="0.35">
      <c r="A482" s="2" t="s">
        <v>983</v>
      </c>
      <c r="B482" s="2" t="s">
        <v>984</v>
      </c>
      <c r="C482" s="3">
        <v>45519</v>
      </c>
      <c r="D482" s="2" t="s">
        <v>37</v>
      </c>
      <c r="E482" s="2" t="s">
        <v>12</v>
      </c>
      <c r="F482" s="2">
        <v>6</v>
      </c>
      <c r="G482" s="2">
        <v>169.83</v>
      </c>
      <c r="H482" s="2">
        <v>1018.98</v>
      </c>
      <c r="I482" s="2" t="s">
        <v>17</v>
      </c>
      <c r="J482" s="2" t="str">
        <f t="shared" si="14"/>
        <v>Aug</v>
      </c>
      <c r="K482" s="4">
        <f>IF(AND(ISNUMBER(Lab2_Dataset[[#This Row],[Revenue]]), ISNUMBER(Lab2_Dataset[[#This Row],[Quantity]]), Lab2_Dataset[[#This Row],[Quantity]]&lt;&gt;0), Lab2_Dataset[[#This Row],[Revenue]]/Lab2_Dataset[[#This Row],[Quantity]], "")</f>
        <v>169.83</v>
      </c>
      <c r="O482" s="2" t="b">
        <v>0</v>
      </c>
      <c r="P482" s="2" t="str">
        <f t="shared" si="15"/>
        <v/>
      </c>
    </row>
    <row r="483" spans="1:16" x14ac:dyDescent="0.35">
      <c r="A483" s="2" t="s">
        <v>985</v>
      </c>
      <c r="B483" s="2" t="s">
        <v>986</v>
      </c>
      <c r="C483" s="3">
        <v>45399</v>
      </c>
      <c r="D483" s="2" t="s">
        <v>34</v>
      </c>
      <c r="E483" s="2" t="s">
        <v>12</v>
      </c>
      <c r="G483" s="2">
        <v>55.71</v>
      </c>
      <c r="I483" s="2" t="s">
        <v>31</v>
      </c>
      <c r="J483" s="2" t="str">
        <f t="shared" si="14"/>
        <v>Apr</v>
      </c>
      <c r="K48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3" s="2" t="b">
        <v>1</v>
      </c>
      <c r="P483" s="2" t="str">
        <f t="shared" si="15"/>
        <v/>
      </c>
    </row>
    <row r="484" spans="1:16" x14ac:dyDescent="0.35">
      <c r="A484" s="2" t="s">
        <v>987</v>
      </c>
      <c r="B484" s="2" t="s">
        <v>988</v>
      </c>
      <c r="C484" s="3">
        <v>45298</v>
      </c>
      <c r="D484" s="2" t="s">
        <v>37</v>
      </c>
      <c r="E484" s="2" t="s">
        <v>16</v>
      </c>
      <c r="G484" s="2">
        <v>23.49</v>
      </c>
      <c r="I484" s="2" t="s">
        <v>21</v>
      </c>
      <c r="J484" s="2" t="str">
        <f t="shared" si="14"/>
        <v>Jan</v>
      </c>
      <c r="K48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4" s="2" t="b">
        <v>1</v>
      </c>
      <c r="P484" s="2">
        <f t="shared" si="15"/>
        <v>244.08</v>
      </c>
    </row>
    <row r="485" spans="1:16" x14ac:dyDescent="0.35">
      <c r="A485" s="2" t="s">
        <v>989</v>
      </c>
      <c r="B485" s="2" t="s">
        <v>990</v>
      </c>
      <c r="C485" s="3">
        <v>45279</v>
      </c>
      <c r="D485" s="2" t="s">
        <v>34</v>
      </c>
      <c r="E485" s="2" t="s">
        <v>28</v>
      </c>
      <c r="F485" s="2">
        <v>9</v>
      </c>
      <c r="G485" s="2">
        <v>27.12</v>
      </c>
      <c r="H485" s="2">
        <v>244.08</v>
      </c>
      <c r="I485" s="2" t="s">
        <v>21</v>
      </c>
      <c r="J485" s="2" t="str">
        <f t="shared" si="14"/>
        <v>Dec</v>
      </c>
      <c r="K485" s="4">
        <f>IF(AND(ISNUMBER(Lab2_Dataset[[#This Row],[Revenue]]), ISNUMBER(Lab2_Dataset[[#This Row],[Quantity]]), Lab2_Dataset[[#This Row],[Quantity]]&lt;&gt;0), Lab2_Dataset[[#This Row],[Revenue]]/Lab2_Dataset[[#This Row],[Quantity]], "")</f>
        <v>27.12</v>
      </c>
      <c r="O485" s="2" t="b">
        <v>0</v>
      </c>
      <c r="P485" s="2" t="str">
        <f t="shared" si="15"/>
        <v/>
      </c>
    </row>
    <row r="486" spans="1:16" x14ac:dyDescent="0.35">
      <c r="A486" s="2" t="s">
        <v>991</v>
      </c>
      <c r="B486" s="2" t="s">
        <v>992</v>
      </c>
      <c r="C486" s="3">
        <v>45769</v>
      </c>
      <c r="D486" s="2" t="s">
        <v>27</v>
      </c>
      <c r="E486" s="2" t="s">
        <v>47</v>
      </c>
      <c r="G486" s="2">
        <v>99.81</v>
      </c>
      <c r="I486" s="2" t="s">
        <v>17</v>
      </c>
      <c r="J486" s="2" t="str">
        <f t="shared" si="14"/>
        <v>Apr</v>
      </c>
      <c r="K4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6" s="2" t="b">
        <v>1</v>
      </c>
      <c r="P486" s="2" t="str">
        <f t="shared" si="15"/>
        <v/>
      </c>
    </row>
    <row r="487" spans="1:16" x14ac:dyDescent="0.35">
      <c r="A487" s="2" t="s">
        <v>993</v>
      </c>
      <c r="B487" s="2" t="s">
        <v>994</v>
      </c>
      <c r="C487" s="3">
        <v>45581</v>
      </c>
      <c r="D487" s="2" t="s">
        <v>34</v>
      </c>
      <c r="E487" s="2" t="s">
        <v>12</v>
      </c>
      <c r="G487" s="2">
        <v>138.71</v>
      </c>
      <c r="I487" s="2" t="s">
        <v>17</v>
      </c>
      <c r="J487" s="2" t="str">
        <f t="shared" si="14"/>
        <v>Oct</v>
      </c>
      <c r="K4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7" s="2" t="b">
        <v>1</v>
      </c>
      <c r="P487" s="2" t="str">
        <f t="shared" si="15"/>
        <v/>
      </c>
    </row>
    <row r="488" spans="1:16" x14ac:dyDescent="0.35">
      <c r="A488" s="2" t="s">
        <v>995</v>
      </c>
      <c r="B488" s="2" t="s">
        <v>996</v>
      </c>
      <c r="C488" s="3">
        <v>45353</v>
      </c>
      <c r="D488" s="2" t="s">
        <v>34</v>
      </c>
      <c r="E488" s="2" t="s">
        <v>47</v>
      </c>
      <c r="G488" s="2">
        <v>10.39</v>
      </c>
      <c r="I488" s="2" t="s">
        <v>21</v>
      </c>
      <c r="J488" s="2" t="str">
        <f t="shared" si="14"/>
        <v>Mar</v>
      </c>
      <c r="K4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8" s="2" t="b">
        <v>1</v>
      </c>
      <c r="P488" s="2" t="str">
        <f t="shared" si="15"/>
        <v/>
      </c>
    </row>
    <row r="489" spans="1:16" x14ac:dyDescent="0.35">
      <c r="A489" s="2" t="s">
        <v>997</v>
      </c>
      <c r="B489" s="2" t="s">
        <v>998</v>
      </c>
      <c r="C489" s="3">
        <v>45300</v>
      </c>
      <c r="D489" s="2" t="s">
        <v>34</v>
      </c>
      <c r="E489" s="2" t="s">
        <v>28</v>
      </c>
      <c r="G489" s="2">
        <v>40.57</v>
      </c>
      <c r="I489" s="2" t="s">
        <v>21</v>
      </c>
      <c r="J489" s="2" t="str">
        <f t="shared" si="14"/>
        <v>Jan</v>
      </c>
      <c r="K4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89" s="2" t="b">
        <v>1</v>
      </c>
      <c r="P489" s="2" t="str">
        <f t="shared" si="15"/>
        <v/>
      </c>
    </row>
    <row r="490" spans="1:16" x14ac:dyDescent="0.35">
      <c r="A490" s="2" t="s">
        <v>999</v>
      </c>
      <c r="B490" s="2" t="s">
        <v>1000</v>
      </c>
      <c r="C490" s="3">
        <v>45649</v>
      </c>
      <c r="D490" s="2" t="s">
        <v>20</v>
      </c>
      <c r="E490" s="2" t="s">
        <v>28</v>
      </c>
      <c r="G490" s="2">
        <v>130.72</v>
      </c>
      <c r="I490" s="2" t="s">
        <v>13</v>
      </c>
      <c r="J490" s="2" t="str">
        <f t="shared" si="14"/>
        <v>Dec</v>
      </c>
      <c r="K4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0" s="2" t="b">
        <v>1</v>
      </c>
      <c r="P490" s="2">
        <f t="shared" si="15"/>
        <v>580.83000000000004</v>
      </c>
    </row>
    <row r="491" spans="1:16" x14ac:dyDescent="0.35">
      <c r="A491" s="2" t="s">
        <v>1001</v>
      </c>
      <c r="B491" s="2" t="s">
        <v>1002</v>
      </c>
      <c r="C491" s="3">
        <v>45473</v>
      </c>
      <c r="D491" s="2" t="s">
        <v>11</v>
      </c>
      <c r="E491" s="2" t="s">
        <v>47</v>
      </c>
      <c r="F491" s="2">
        <v>3</v>
      </c>
      <c r="G491" s="2">
        <v>193.61</v>
      </c>
      <c r="H491" s="2">
        <v>580.83000000000004</v>
      </c>
      <c r="I491" s="2" t="s">
        <v>21</v>
      </c>
      <c r="J491" s="2" t="str">
        <f t="shared" si="14"/>
        <v>Jun</v>
      </c>
      <c r="K491" s="4">
        <f>IF(AND(ISNUMBER(Lab2_Dataset[[#This Row],[Revenue]]), ISNUMBER(Lab2_Dataset[[#This Row],[Quantity]]), Lab2_Dataset[[#This Row],[Quantity]]&lt;&gt;0), Lab2_Dataset[[#This Row],[Revenue]]/Lab2_Dataset[[#This Row],[Quantity]], "")</f>
        <v>193.61</v>
      </c>
      <c r="O491" s="2" t="b">
        <v>0</v>
      </c>
      <c r="P491" s="2">
        <f t="shared" si="15"/>
        <v>1385.84</v>
      </c>
    </row>
    <row r="492" spans="1:16" x14ac:dyDescent="0.35">
      <c r="A492" s="2" t="s">
        <v>1003</v>
      </c>
      <c r="B492" s="2" t="s">
        <v>1004</v>
      </c>
      <c r="C492" s="3">
        <v>45221</v>
      </c>
      <c r="D492" s="2" t="s">
        <v>11</v>
      </c>
      <c r="E492" s="2" t="s">
        <v>47</v>
      </c>
      <c r="F492" s="2">
        <v>8</v>
      </c>
      <c r="G492" s="2">
        <v>173.23</v>
      </c>
      <c r="H492" s="2">
        <v>1385.84</v>
      </c>
      <c r="I492" s="2" t="s">
        <v>17</v>
      </c>
      <c r="J492" s="2" t="str">
        <f t="shared" si="14"/>
        <v>Oct</v>
      </c>
      <c r="K492" s="4">
        <f>IF(AND(ISNUMBER(Lab2_Dataset[[#This Row],[Revenue]]), ISNUMBER(Lab2_Dataset[[#This Row],[Quantity]]), Lab2_Dataset[[#This Row],[Quantity]]&lt;&gt;0), Lab2_Dataset[[#This Row],[Revenue]]/Lab2_Dataset[[#This Row],[Quantity]], "")</f>
        <v>173.23</v>
      </c>
      <c r="O492" s="2" t="b">
        <v>0</v>
      </c>
      <c r="P492" s="2" t="str">
        <f t="shared" si="15"/>
        <v/>
      </c>
    </row>
    <row r="493" spans="1:16" x14ac:dyDescent="0.35">
      <c r="A493" s="2" t="s">
        <v>1005</v>
      </c>
      <c r="B493" s="2" t="s">
        <v>1006</v>
      </c>
      <c r="C493" s="3">
        <v>45224</v>
      </c>
      <c r="D493" s="2" t="s">
        <v>37</v>
      </c>
      <c r="E493" s="2" t="s">
        <v>47</v>
      </c>
      <c r="G493" s="2">
        <v>100.77</v>
      </c>
      <c r="I493" s="2" t="s">
        <v>21</v>
      </c>
      <c r="J493" s="2" t="str">
        <f t="shared" si="14"/>
        <v>Oct</v>
      </c>
      <c r="K4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3" s="2" t="b">
        <v>1</v>
      </c>
      <c r="P493" s="2" t="str">
        <f t="shared" si="15"/>
        <v/>
      </c>
    </row>
    <row r="494" spans="1:16" x14ac:dyDescent="0.35">
      <c r="A494" s="2" t="s">
        <v>1007</v>
      </c>
      <c r="B494" s="2" t="s">
        <v>1008</v>
      </c>
      <c r="C494" s="3">
        <v>45290</v>
      </c>
      <c r="D494" s="2" t="s">
        <v>34</v>
      </c>
      <c r="E494" s="2" t="s">
        <v>24</v>
      </c>
      <c r="G494" s="2">
        <v>161.16</v>
      </c>
      <c r="I494" s="2" t="s">
        <v>31</v>
      </c>
      <c r="J494" s="2" t="str">
        <f t="shared" si="14"/>
        <v>Dec</v>
      </c>
      <c r="K4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4" s="2" t="b">
        <v>1</v>
      </c>
      <c r="P494" s="2" t="str">
        <f t="shared" si="15"/>
        <v/>
      </c>
    </row>
    <row r="495" spans="1:16" x14ac:dyDescent="0.35">
      <c r="A495" s="2" t="s">
        <v>1009</v>
      </c>
      <c r="B495" s="2" t="s">
        <v>1010</v>
      </c>
      <c r="C495" s="3">
        <v>45624</v>
      </c>
      <c r="D495" s="2" t="s">
        <v>11</v>
      </c>
      <c r="E495" s="2" t="s">
        <v>24</v>
      </c>
      <c r="G495" s="2">
        <v>169.23</v>
      </c>
      <c r="I495" s="2" t="s">
        <v>13</v>
      </c>
      <c r="J495" s="2" t="str">
        <f t="shared" si="14"/>
        <v>Nov</v>
      </c>
      <c r="K4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5" s="2" t="b">
        <v>1</v>
      </c>
      <c r="P495" s="2" t="str">
        <f t="shared" si="15"/>
        <v/>
      </c>
    </row>
    <row r="496" spans="1:16" x14ac:dyDescent="0.35">
      <c r="A496" s="2" t="s">
        <v>1011</v>
      </c>
      <c r="B496" s="2" t="s">
        <v>1012</v>
      </c>
      <c r="C496" s="3">
        <v>45531</v>
      </c>
      <c r="D496" s="2" t="s">
        <v>69</v>
      </c>
      <c r="E496" s="2" t="s">
        <v>28</v>
      </c>
      <c r="G496" s="2">
        <v>103.1</v>
      </c>
      <c r="I496" s="2" t="s">
        <v>17</v>
      </c>
      <c r="J496" s="2" t="str">
        <f t="shared" si="14"/>
        <v>Aug</v>
      </c>
      <c r="K4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6" s="2" t="b">
        <v>1</v>
      </c>
      <c r="P496" s="2" t="str">
        <f t="shared" si="15"/>
        <v/>
      </c>
    </row>
    <row r="497" spans="1:16" x14ac:dyDescent="0.35">
      <c r="A497" s="2" t="s">
        <v>1013</v>
      </c>
      <c r="B497" s="2" t="s">
        <v>1014</v>
      </c>
      <c r="C497" s="3">
        <v>45452</v>
      </c>
      <c r="D497" s="2" t="s">
        <v>69</v>
      </c>
      <c r="E497" s="2" t="s">
        <v>24</v>
      </c>
      <c r="G497" s="2">
        <v>35.51</v>
      </c>
      <c r="I497" s="2" t="s">
        <v>17</v>
      </c>
      <c r="J497" s="2" t="str">
        <f t="shared" si="14"/>
        <v>Jun</v>
      </c>
      <c r="K4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7" s="2" t="b">
        <v>1</v>
      </c>
      <c r="P497" s="2">
        <f t="shared" si="15"/>
        <v>1635.48</v>
      </c>
    </row>
    <row r="498" spans="1:16" x14ac:dyDescent="0.35">
      <c r="A498" s="2" t="s">
        <v>1015</v>
      </c>
      <c r="B498" s="2" t="s">
        <v>1016</v>
      </c>
      <c r="C498" s="3">
        <v>45627</v>
      </c>
      <c r="D498" s="2" t="s">
        <v>37</v>
      </c>
      <c r="E498" s="2" t="s">
        <v>16</v>
      </c>
      <c r="F498" s="2">
        <v>9</v>
      </c>
      <c r="G498" s="2">
        <v>181.72</v>
      </c>
      <c r="H498" s="2">
        <v>1635.48</v>
      </c>
      <c r="I498" s="2" t="s">
        <v>38</v>
      </c>
      <c r="J498" s="2" t="str">
        <f t="shared" si="14"/>
        <v>Dec</v>
      </c>
      <c r="K498" s="4">
        <f>IF(AND(ISNUMBER(Lab2_Dataset[[#This Row],[Revenue]]), ISNUMBER(Lab2_Dataset[[#This Row],[Quantity]]), Lab2_Dataset[[#This Row],[Quantity]]&lt;&gt;0), Lab2_Dataset[[#This Row],[Revenue]]/Lab2_Dataset[[#This Row],[Quantity]], "")</f>
        <v>181.72</v>
      </c>
      <c r="O498" s="2" t="b">
        <v>0</v>
      </c>
      <c r="P498" s="2" t="str">
        <f t="shared" si="15"/>
        <v/>
      </c>
    </row>
    <row r="499" spans="1:16" x14ac:dyDescent="0.35">
      <c r="A499" s="2" t="s">
        <v>1017</v>
      </c>
      <c r="B499" s="2" t="s">
        <v>1018</v>
      </c>
      <c r="C499" s="3">
        <v>45604</v>
      </c>
      <c r="D499" s="2" t="s">
        <v>20</v>
      </c>
      <c r="E499" s="2" t="s">
        <v>24</v>
      </c>
      <c r="G499" s="2">
        <v>149.04</v>
      </c>
      <c r="I499" s="2" t="s">
        <v>38</v>
      </c>
      <c r="J499" s="2" t="str">
        <f t="shared" si="14"/>
        <v>Nov</v>
      </c>
      <c r="K49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499" s="2" t="b">
        <v>1</v>
      </c>
      <c r="P499" s="2">
        <f t="shared" si="15"/>
        <v>50.08</v>
      </c>
    </row>
    <row r="500" spans="1:16" x14ac:dyDescent="0.35">
      <c r="A500" s="2" t="s">
        <v>1019</v>
      </c>
      <c r="B500" s="2" t="s">
        <v>1020</v>
      </c>
      <c r="C500" s="3">
        <v>45494</v>
      </c>
      <c r="D500" s="2" t="s">
        <v>37</v>
      </c>
      <c r="E500" s="2" t="s">
        <v>28</v>
      </c>
      <c r="F500" s="2">
        <v>4</v>
      </c>
      <c r="G500" s="2">
        <v>12.52</v>
      </c>
      <c r="H500" s="2">
        <v>50.08</v>
      </c>
      <c r="I500" s="2" t="s">
        <v>38</v>
      </c>
      <c r="J500" s="2" t="str">
        <f t="shared" si="14"/>
        <v>Jul</v>
      </c>
      <c r="K500" s="4">
        <f>IF(AND(ISNUMBER(Lab2_Dataset[[#This Row],[Revenue]]), ISNUMBER(Lab2_Dataset[[#This Row],[Quantity]]), Lab2_Dataset[[#This Row],[Quantity]]&lt;&gt;0), Lab2_Dataset[[#This Row],[Revenue]]/Lab2_Dataset[[#This Row],[Quantity]], "")</f>
        <v>12.52</v>
      </c>
      <c r="O500" s="2" t="b">
        <v>0</v>
      </c>
      <c r="P500" s="2">
        <f t="shared" si="15"/>
        <v>287.15999999999997</v>
      </c>
    </row>
    <row r="501" spans="1:16" x14ac:dyDescent="0.35">
      <c r="A501" s="2" t="s">
        <v>1021</v>
      </c>
      <c r="B501" s="2" t="s">
        <v>1022</v>
      </c>
      <c r="C501" s="3">
        <v>45637</v>
      </c>
      <c r="D501" s="2" t="s">
        <v>20</v>
      </c>
      <c r="E501" s="2" t="s">
        <v>12</v>
      </c>
      <c r="F501" s="2">
        <v>6</v>
      </c>
      <c r="G501" s="2">
        <v>47.86</v>
      </c>
      <c r="H501" s="2">
        <v>287.16000000000003</v>
      </c>
      <c r="I501" s="2" t="s">
        <v>13</v>
      </c>
      <c r="J501" s="2" t="str">
        <f t="shared" si="14"/>
        <v>Dec</v>
      </c>
      <c r="K501" s="4">
        <f>IF(AND(ISNUMBER(Lab2_Dataset[[#This Row],[Revenue]]), ISNUMBER(Lab2_Dataset[[#This Row],[Quantity]]), Lab2_Dataset[[#This Row],[Quantity]]&lt;&gt;0), Lab2_Dataset[[#This Row],[Revenue]]/Lab2_Dataset[[#This Row],[Quantity]], "")</f>
        <v>47.860000000000007</v>
      </c>
      <c r="O501" s="2" t="b">
        <v>0</v>
      </c>
      <c r="P501" s="2">
        <f t="shared" si="15"/>
        <v>405.68999999999994</v>
      </c>
    </row>
    <row r="502" spans="1:16" x14ac:dyDescent="0.35">
      <c r="A502" s="2" t="s">
        <v>1023</v>
      </c>
      <c r="B502" s="2" t="s">
        <v>1024</v>
      </c>
      <c r="C502" s="3">
        <v>45738</v>
      </c>
      <c r="D502" s="2" t="s">
        <v>69</v>
      </c>
      <c r="E502" s="2" t="s">
        <v>16</v>
      </c>
      <c r="F502" s="2">
        <v>3</v>
      </c>
      <c r="G502" s="2">
        <v>135.22999999999999</v>
      </c>
      <c r="H502" s="2">
        <v>405.69</v>
      </c>
      <c r="I502" s="2" t="s">
        <v>21</v>
      </c>
      <c r="J502" s="2" t="str">
        <f t="shared" si="14"/>
        <v>Mar</v>
      </c>
      <c r="K502" s="4">
        <f>IF(AND(ISNUMBER(Lab2_Dataset[[#This Row],[Revenue]]), ISNUMBER(Lab2_Dataset[[#This Row],[Quantity]]), Lab2_Dataset[[#This Row],[Quantity]]&lt;&gt;0), Lab2_Dataset[[#This Row],[Revenue]]/Lab2_Dataset[[#This Row],[Quantity]], "")</f>
        <v>135.22999999999999</v>
      </c>
      <c r="O502" s="2" t="b">
        <v>0</v>
      </c>
      <c r="P502" s="2" t="str">
        <f t="shared" si="15"/>
        <v/>
      </c>
    </row>
    <row r="503" spans="1:16" x14ac:dyDescent="0.35">
      <c r="A503" s="2" t="s">
        <v>1025</v>
      </c>
      <c r="B503" s="2" t="s">
        <v>1026</v>
      </c>
      <c r="C503" s="3">
        <v>45214</v>
      </c>
      <c r="D503" s="2" t="s">
        <v>37</v>
      </c>
      <c r="E503" s="2" t="s">
        <v>24</v>
      </c>
      <c r="G503" s="2">
        <v>166.18</v>
      </c>
      <c r="I503" s="2" t="s">
        <v>38</v>
      </c>
      <c r="J503" s="2" t="str">
        <f t="shared" si="14"/>
        <v>Oct</v>
      </c>
      <c r="K50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03" s="2" t="b">
        <v>1</v>
      </c>
      <c r="P503" s="2">
        <f t="shared" si="15"/>
        <v>207.48000000000002</v>
      </c>
    </row>
    <row r="504" spans="1:16" x14ac:dyDescent="0.35">
      <c r="A504" s="2" t="s">
        <v>1027</v>
      </c>
      <c r="B504" s="2" t="s">
        <v>1028</v>
      </c>
      <c r="C504" s="3">
        <v>45143</v>
      </c>
      <c r="D504" s="2" t="s">
        <v>11</v>
      </c>
      <c r="E504" s="2" t="s">
        <v>24</v>
      </c>
      <c r="F504" s="2">
        <v>7</v>
      </c>
      <c r="G504" s="2">
        <v>29.64</v>
      </c>
      <c r="H504" s="2">
        <v>207.48</v>
      </c>
      <c r="I504" s="2" t="s">
        <v>13</v>
      </c>
      <c r="J504" s="2" t="str">
        <f t="shared" si="14"/>
        <v>Aug</v>
      </c>
      <c r="K504" s="4">
        <f>IF(AND(ISNUMBER(Lab2_Dataset[[#This Row],[Revenue]]), ISNUMBER(Lab2_Dataset[[#This Row],[Quantity]]), Lab2_Dataset[[#This Row],[Quantity]]&lt;&gt;0), Lab2_Dataset[[#This Row],[Revenue]]/Lab2_Dataset[[#This Row],[Quantity]], "")</f>
        <v>29.639999999999997</v>
      </c>
      <c r="O504" s="2" t="b">
        <v>0</v>
      </c>
      <c r="P504" s="2">
        <f t="shared" si="15"/>
        <v>550.71</v>
      </c>
    </row>
    <row r="505" spans="1:16" x14ac:dyDescent="0.35">
      <c r="A505" s="2" t="s">
        <v>1029</v>
      </c>
      <c r="B505" s="2" t="s">
        <v>1030</v>
      </c>
      <c r="C505" s="3">
        <v>45611</v>
      </c>
      <c r="D505" s="2" t="s">
        <v>20</v>
      </c>
      <c r="E505" s="2" t="s">
        <v>47</v>
      </c>
      <c r="F505" s="2">
        <v>3</v>
      </c>
      <c r="G505" s="2">
        <v>183.57</v>
      </c>
      <c r="H505" s="2">
        <v>550.71</v>
      </c>
      <c r="I505" s="2" t="s">
        <v>52</v>
      </c>
      <c r="J505" s="2" t="str">
        <f t="shared" si="14"/>
        <v>Nov</v>
      </c>
      <c r="K505" s="4">
        <f>IF(AND(ISNUMBER(Lab2_Dataset[[#This Row],[Revenue]]), ISNUMBER(Lab2_Dataset[[#This Row],[Quantity]]), Lab2_Dataset[[#This Row],[Quantity]]&lt;&gt;0), Lab2_Dataset[[#This Row],[Revenue]]/Lab2_Dataset[[#This Row],[Quantity]], "")</f>
        <v>183.57000000000002</v>
      </c>
      <c r="O505" s="2" t="b">
        <v>0</v>
      </c>
      <c r="P505" s="2" t="str">
        <f t="shared" si="15"/>
        <v/>
      </c>
    </row>
    <row r="506" spans="1:16" x14ac:dyDescent="0.35">
      <c r="A506" s="2" t="s">
        <v>1031</v>
      </c>
      <c r="B506" s="2" t="s">
        <v>1032</v>
      </c>
      <c r="C506" s="3">
        <v>45701</v>
      </c>
      <c r="D506" s="2" t="s">
        <v>37</v>
      </c>
      <c r="E506" s="2" t="s">
        <v>16</v>
      </c>
      <c r="G506" s="2">
        <v>50.73</v>
      </c>
      <c r="I506" s="2" t="s">
        <v>38</v>
      </c>
      <c r="J506" s="2" t="str">
        <f t="shared" si="14"/>
        <v>Feb</v>
      </c>
      <c r="K5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06" s="2" t="b">
        <v>1</v>
      </c>
      <c r="P506" s="2" t="str">
        <f t="shared" si="15"/>
        <v/>
      </c>
    </row>
    <row r="507" spans="1:16" x14ac:dyDescent="0.35">
      <c r="A507" s="2" t="s">
        <v>1033</v>
      </c>
      <c r="B507" s="2" t="s">
        <v>1034</v>
      </c>
      <c r="C507" s="3">
        <v>45410</v>
      </c>
      <c r="D507" s="2" t="s">
        <v>34</v>
      </c>
      <c r="E507" s="2" t="s">
        <v>12</v>
      </c>
      <c r="G507" s="2">
        <v>43.83</v>
      </c>
      <c r="I507" s="2" t="s">
        <v>21</v>
      </c>
      <c r="J507" s="2" t="str">
        <f t="shared" si="14"/>
        <v>Apr</v>
      </c>
      <c r="K5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07" s="2" t="b">
        <v>1</v>
      </c>
      <c r="P507" s="2">
        <f t="shared" si="15"/>
        <v>112.12</v>
      </c>
    </row>
    <row r="508" spans="1:16" x14ac:dyDescent="0.35">
      <c r="A508" s="2" t="s">
        <v>1035</v>
      </c>
      <c r="B508" s="2" t="s">
        <v>1036</v>
      </c>
      <c r="C508" s="3">
        <v>45072</v>
      </c>
      <c r="D508" s="2" t="s">
        <v>20</v>
      </c>
      <c r="E508" s="2" t="s">
        <v>24</v>
      </c>
      <c r="F508" s="2">
        <v>2</v>
      </c>
      <c r="G508" s="2">
        <v>56.06</v>
      </c>
      <c r="H508" s="2">
        <v>112.12</v>
      </c>
      <c r="I508" s="2" t="s">
        <v>52</v>
      </c>
      <c r="J508" s="2" t="str">
        <f t="shared" si="14"/>
        <v>May</v>
      </c>
      <c r="K508" s="4">
        <f>IF(AND(ISNUMBER(Lab2_Dataset[[#This Row],[Revenue]]), ISNUMBER(Lab2_Dataset[[#This Row],[Quantity]]), Lab2_Dataset[[#This Row],[Quantity]]&lt;&gt;0), Lab2_Dataset[[#This Row],[Revenue]]/Lab2_Dataset[[#This Row],[Quantity]], "")</f>
        <v>56.06</v>
      </c>
      <c r="O508" s="2" t="b">
        <v>0</v>
      </c>
      <c r="P508" s="2" t="str">
        <f t="shared" si="15"/>
        <v/>
      </c>
    </row>
    <row r="509" spans="1:16" x14ac:dyDescent="0.35">
      <c r="A509" s="2" t="s">
        <v>1037</v>
      </c>
      <c r="B509" s="2" t="s">
        <v>1038</v>
      </c>
      <c r="C509" s="3">
        <v>45662</v>
      </c>
      <c r="D509" s="2" t="s">
        <v>34</v>
      </c>
      <c r="E509" s="2" t="s">
        <v>28</v>
      </c>
      <c r="G509" s="2">
        <v>85.64</v>
      </c>
      <c r="I509" s="2" t="s">
        <v>38</v>
      </c>
      <c r="J509" s="2" t="str">
        <f t="shared" si="14"/>
        <v>Jan</v>
      </c>
      <c r="K50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09" s="2" t="b">
        <v>1</v>
      </c>
      <c r="P509" s="2" t="str">
        <f t="shared" si="15"/>
        <v/>
      </c>
    </row>
    <row r="510" spans="1:16" x14ac:dyDescent="0.35">
      <c r="A510" s="2" t="s">
        <v>1039</v>
      </c>
      <c r="B510" s="2" t="s">
        <v>1040</v>
      </c>
      <c r="C510" s="3">
        <v>45516</v>
      </c>
      <c r="D510" s="2" t="s">
        <v>11</v>
      </c>
      <c r="E510" s="2" t="s">
        <v>24</v>
      </c>
      <c r="G510" s="2">
        <v>164.61</v>
      </c>
      <c r="I510" s="2" t="s">
        <v>13</v>
      </c>
      <c r="J510" s="2" t="str">
        <f t="shared" si="14"/>
        <v>Aug</v>
      </c>
      <c r="K5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0" s="2" t="b">
        <v>1</v>
      </c>
      <c r="P510" s="2" t="str">
        <f t="shared" si="15"/>
        <v/>
      </c>
    </row>
    <row r="511" spans="1:16" x14ac:dyDescent="0.35">
      <c r="A511" s="2" t="s">
        <v>1041</v>
      </c>
      <c r="B511" s="2" t="s">
        <v>1042</v>
      </c>
      <c r="C511" s="3">
        <v>45727</v>
      </c>
      <c r="D511" s="2" t="s">
        <v>37</v>
      </c>
      <c r="E511" s="2" t="s">
        <v>24</v>
      </c>
      <c r="G511" s="2">
        <v>60.41</v>
      </c>
      <c r="I511" s="2" t="s">
        <v>38</v>
      </c>
      <c r="J511" s="2" t="str">
        <f t="shared" si="14"/>
        <v>Mar</v>
      </c>
      <c r="K51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1" s="2" t="b">
        <v>1</v>
      </c>
      <c r="P511" s="2" t="str">
        <f t="shared" si="15"/>
        <v/>
      </c>
    </row>
    <row r="512" spans="1:16" x14ac:dyDescent="0.35">
      <c r="A512" s="2" t="s">
        <v>1043</v>
      </c>
      <c r="B512" s="2" t="s">
        <v>1044</v>
      </c>
      <c r="C512" s="3">
        <v>45261</v>
      </c>
      <c r="D512" s="2" t="s">
        <v>11</v>
      </c>
      <c r="E512" s="2" t="s">
        <v>47</v>
      </c>
      <c r="G512" s="2">
        <v>159.32</v>
      </c>
      <c r="I512" s="2" t="s">
        <v>21</v>
      </c>
      <c r="J512" s="2" t="str">
        <f t="shared" si="14"/>
        <v>Dec</v>
      </c>
      <c r="K5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2" s="2" t="b">
        <v>1</v>
      </c>
      <c r="P512" s="2" t="str">
        <f t="shared" si="15"/>
        <v/>
      </c>
    </row>
    <row r="513" spans="1:16" x14ac:dyDescent="0.35">
      <c r="A513" s="2" t="s">
        <v>1045</v>
      </c>
      <c r="B513" s="2" t="s">
        <v>1046</v>
      </c>
      <c r="C513" s="3">
        <v>45680</v>
      </c>
      <c r="D513" s="2" t="s">
        <v>34</v>
      </c>
      <c r="E513" s="2" t="s">
        <v>28</v>
      </c>
      <c r="G513" s="2">
        <v>189.23</v>
      </c>
      <c r="I513" s="2" t="s">
        <v>52</v>
      </c>
      <c r="J513" s="2" t="str">
        <f t="shared" si="14"/>
        <v>Jan</v>
      </c>
      <c r="K51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3" s="2" t="b">
        <v>1</v>
      </c>
      <c r="P513" s="2">
        <f t="shared" si="15"/>
        <v>381.51</v>
      </c>
    </row>
    <row r="514" spans="1:16" x14ac:dyDescent="0.35">
      <c r="A514" s="2" t="s">
        <v>1047</v>
      </c>
      <c r="B514" s="2" t="s">
        <v>1048</v>
      </c>
      <c r="C514" s="3">
        <v>45658</v>
      </c>
      <c r="D514" s="2" t="s">
        <v>20</v>
      </c>
      <c r="E514" s="2" t="s">
        <v>12</v>
      </c>
      <c r="F514" s="2">
        <v>3</v>
      </c>
      <c r="G514" s="2">
        <v>127.17</v>
      </c>
      <c r="I514" s="2" t="s">
        <v>21</v>
      </c>
      <c r="J514" s="2" t="str">
        <f t="shared" ref="J514:J577" si="16">TEXT(C514,"mmm")</f>
        <v>Jan</v>
      </c>
      <c r="K5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4" s="2" t="b">
        <v>0</v>
      </c>
      <c r="P514" s="2" t="str">
        <f t="shared" si="15"/>
        <v/>
      </c>
    </row>
    <row r="515" spans="1:16" x14ac:dyDescent="0.35">
      <c r="A515" s="2" t="s">
        <v>1049</v>
      </c>
      <c r="B515" s="2" t="s">
        <v>1050</v>
      </c>
      <c r="C515" s="3">
        <v>45349</v>
      </c>
      <c r="D515" s="2" t="s">
        <v>34</v>
      </c>
      <c r="E515" s="2" t="s">
        <v>16</v>
      </c>
      <c r="G515" s="2">
        <v>170.75</v>
      </c>
      <c r="I515" s="2" t="s">
        <v>17</v>
      </c>
      <c r="J515" s="2" t="str">
        <f t="shared" si="16"/>
        <v>Feb</v>
      </c>
      <c r="K51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5" s="2" t="b">
        <v>1</v>
      </c>
      <c r="P515" s="2">
        <f t="shared" ref="P515:P578" si="17">IF(O516=TRUE,"",F516*G516)</f>
        <v>135.19999999999999</v>
      </c>
    </row>
    <row r="516" spans="1:16" x14ac:dyDescent="0.35">
      <c r="A516" s="2" t="s">
        <v>1051</v>
      </c>
      <c r="B516" s="2" t="s">
        <v>1052</v>
      </c>
      <c r="C516" s="3">
        <v>45519</v>
      </c>
      <c r="D516" s="2" t="s">
        <v>37</v>
      </c>
      <c r="E516" s="2" t="s">
        <v>16</v>
      </c>
      <c r="F516" s="2">
        <v>1</v>
      </c>
      <c r="G516" s="2">
        <v>135.19999999999999</v>
      </c>
      <c r="H516" s="2">
        <v>135.19999999999999</v>
      </c>
      <c r="I516" s="2" t="s">
        <v>13</v>
      </c>
      <c r="J516" s="2" t="str">
        <f t="shared" si="16"/>
        <v>Aug</v>
      </c>
      <c r="K516" s="4">
        <f>IF(AND(ISNUMBER(Lab2_Dataset[[#This Row],[Revenue]]), ISNUMBER(Lab2_Dataset[[#This Row],[Quantity]]), Lab2_Dataset[[#This Row],[Quantity]]&lt;&gt;0), Lab2_Dataset[[#This Row],[Revenue]]/Lab2_Dataset[[#This Row],[Quantity]], "")</f>
        <v>135.19999999999999</v>
      </c>
      <c r="O516" s="2" t="b">
        <v>0</v>
      </c>
      <c r="P516" s="2">
        <f t="shared" si="17"/>
        <v>1325.7</v>
      </c>
    </row>
    <row r="517" spans="1:16" x14ac:dyDescent="0.35">
      <c r="A517" s="2" t="s">
        <v>1053</v>
      </c>
      <c r="B517" s="2" t="s">
        <v>1054</v>
      </c>
      <c r="C517" s="3">
        <v>45134</v>
      </c>
      <c r="D517" s="2" t="s">
        <v>27</v>
      </c>
      <c r="E517" s="2" t="s">
        <v>16</v>
      </c>
      <c r="F517" s="2">
        <v>9</v>
      </c>
      <c r="G517" s="2">
        <v>147.30000000000001</v>
      </c>
      <c r="H517" s="2">
        <v>1325.7</v>
      </c>
      <c r="I517" s="2" t="s">
        <v>38</v>
      </c>
      <c r="J517" s="2" t="str">
        <f t="shared" si="16"/>
        <v>Jul</v>
      </c>
      <c r="K517" s="4">
        <f>IF(AND(ISNUMBER(Lab2_Dataset[[#This Row],[Revenue]]), ISNUMBER(Lab2_Dataset[[#This Row],[Quantity]]), Lab2_Dataset[[#This Row],[Quantity]]&lt;&gt;0), Lab2_Dataset[[#This Row],[Revenue]]/Lab2_Dataset[[#This Row],[Quantity]], "")</f>
        <v>147.30000000000001</v>
      </c>
      <c r="O517" s="2" t="b">
        <v>0</v>
      </c>
      <c r="P517" s="2" t="str">
        <f t="shared" si="17"/>
        <v/>
      </c>
    </row>
    <row r="518" spans="1:16" x14ac:dyDescent="0.35">
      <c r="A518" s="2" t="s">
        <v>1055</v>
      </c>
      <c r="B518" s="2" t="s">
        <v>1056</v>
      </c>
      <c r="C518" s="3">
        <v>45324</v>
      </c>
      <c r="D518" s="2" t="s">
        <v>37</v>
      </c>
      <c r="E518" s="2" t="s">
        <v>12</v>
      </c>
      <c r="G518" s="2">
        <v>120.87</v>
      </c>
      <c r="I518" s="2" t="s">
        <v>52</v>
      </c>
      <c r="J518" s="2" t="str">
        <f t="shared" si="16"/>
        <v>Feb</v>
      </c>
      <c r="K51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18" s="2" t="b">
        <v>1</v>
      </c>
      <c r="P518" s="2">
        <f t="shared" si="17"/>
        <v>153.03</v>
      </c>
    </row>
    <row r="519" spans="1:16" x14ac:dyDescent="0.35">
      <c r="A519" s="2" t="s">
        <v>1057</v>
      </c>
      <c r="B519" s="2" t="s">
        <v>1058</v>
      </c>
      <c r="C519" s="3">
        <v>45116</v>
      </c>
      <c r="D519" s="2" t="s">
        <v>37</v>
      </c>
      <c r="E519" s="2" t="s">
        <v>24</v>
      </c>
      <c r="F519" s="2">
        <v>1</v>
      </c>
      <c r="G519" s="2">
        <v>153.03</v>
      </c>
      <c r="H519" s="2">
        <v>153.03</v>
      </c>
      <c r="I519" s="2" t="s">
        <v>21</v>
      </c>
      <c r="J519" s="2" t="str">
        <f t="shared" si="16"/>
        <v>Jul</v>
      </c>
      <c r="K519" s="4">
        <f>IF(AND(ISNUMBER(Lab2_Dataset[[#This Row],[Revenue]]), ISNUMBER(Lab2_Dataset[[#This Row],[Quantity]]), Lab2_Dataset[[#This Row],[Quantity]]&lt;&gt;0), Lab2_Dataset[[#This Row],[Revenue]]/Lab2_Dataset[[#This Row],[Quantity]], "")</f>
        <v>153.03</v>
      </c>
      <c r="O519" s="2" t="b">
        <v>0</v>
      </c>
      <c r="P519" s="2" t="str">
        <f t="shared" si="17"/>
        <v/>
      </c>
    </row>
    <row r="520" spans="1:16" x14ac:dyDescent="0.35">
      <c r="A520" s="2" t="s">
        <v>1059</v>
      </c>
      <c r="B520" s="2" t="s">
        <v>1060</v>
      </c>
      <c r="C520" s="3">
        <v>45271</v>
      </c>
      <c r="D520" s="2" t="s">
        <v>37</v>
      </c>
      <c r="E520" s="2" t="s">
        <v>47</v>
      </c>
      <c r="G520" s="2">
        <v>30.43</v>
      </c>
      <c r="I520" s="2" t="s">
        <v>13</v>
      </c>
      <c r="J520" s="2" t="str">
        <f t="shared" si="16"/>
        <v>Dec</v>
      </c>
      <c r="K5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0" s="2" t="b">
        <v>1</v>
      </c>
      <c r="P520" s="2" t="str">
        <f t="shared" si="17"/>
        <v/>
      </c>
    </row>
    <row r="521" spans="1:16" x14ac:dyDescent="0.35">
      <c r="A521" s="2" t="s">
        <v>1061</v>
      </c>
      <c r="B521" s="2" t="s">
        <v>1062</v>
      </c>
      <c r="C521" s="3">
        <v>45635</v>
      </c>
      <c r="D521" s="2" t="s">
        <v>11</v>
      </c>
      <c r="E521" s="2" t="s">
        <v>12</v>
      </c>
      <c r="G521" s="2">
        <v>105.75</v>
      </c>
      <c r="I521" s="2" t="s">
        <v>52</v>
      </c>
      <c r="J521" s="2" t="str">
        <f t="shared" si="16"/>
        <v>Dec</v>
      </c>
      <c r="K52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1" s="2" t="b">
        <v>1</v>
      </c>
      <c r="P521" s="2" t="str">
        <f t="shared" si="17"/>
        <v/>
      </c>
    </row>
    <row r="522" spans="1:16" x14ac:dyDescent="0.35">
      <c r="A522" s="2" t="s">
        <v>1063</v>
      </c>
      <c r="B522" s="2" t="s">
        <v>1064</v>
      </c>
      <c r="C522" s="3">
        <v>45293</v>
      </c>
      <c r="D522" s="2" t="s">
        <v>11</v>
      </c>
      <c r="E522" s="2" t="s">
        <v>12</v>
      </c>
      <c r="G522" s="2">
        <v>37.840000000000003</v>
      </c>
      <c r="I522" s="2" t="s">
        <v>17</v>
      </c>
      <c r="J522" s="2" t="str">
        <f t="shared" si="16"/>
        <v>Jan</v>
      </c>
      <c r="K5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2" s="2" t="b">
        <v>1</v>
      </c>
      <c r="P522" s="2">
        <f t="shared" si="17"/>
        <v>829.2</v>
      </c>
    </row>
    <row r="523" spans="1:16" x14ac:dyDescent="0.35">
      <c r="A523" s="2" t="s">
        <v>1065</v>
      </c>
      <c r="B523" s="2" t="s">
        <v>1066</v>
      </c>
      <c r="C523" s="3">
        <v>45355</v>
      </c>
      <c r="D523" s="2" t="s">
        <v>11</v>
      </c>
      <c r="E523" s="2" t="s">
        <v>12</v>
      </c>
      <c r="F523" s="2">
        <v>5</v>
      </c>
      <c r="G523" s="2">
        <v>165.84</v>
      </c>
      <c r="I523" s="2" t="s">
        <v>17</v>
      </c>
      <c r="J523" s="2" t="str">
        <f t="shared" si="16"/>
        <v>Mar</v>
      </c>
      <c r="K52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3" s="2" t="b">
        <v>0</v>
      </c>
      <c r="P523" s="2">
        <f t="shared" si="17"/>
        <v>99.12</v>
      </c>
    </row>
    <row r="524" spans="1:16" x14ac:dyDescent="0.35">
      <c r="A524" s="2" t="s">
        <v>1067</v>
      </c>
      <c r="B524" s="2" t="s">
        <v>1068</v>
      </c>
      <c r="C524" s="3">
        <v>45712</v>
      </c>
      <c r="D524" s="2" t="s">
        <v>11</v>
      </c>
      <c r="E524" s="2" t="s">
        <v>24</v>
      </c>
      <c r="F524" s="2">
        <v>6</v>
      </c>
      <c r="G524" s="2">
        <v>16.52</v>
      </c>
      <c r="H524" s="2">
        <v>99.12</v>
      </c>
      <c r="I524" s="2" t="s">
        <v>52</v>
      </c>
      <c r="J524" s="2" t="str">
        <f t="shared" si="16"/>
        <v>Feb</v>
      </c>
      <c r="K524" s="4">
        <f>IF(AND(ISNUMBER(Lab2_Dataset[[#This Row],[Revenue]]), ISNUMBER(Lab2_Dataset[[#This Row],[Quantity]]), Lab2_Dataset[[#This Row],[Quantity]]&lt;&gt;0), Lab2_Dataset[[#This Row],[Revenue]]/Lab2_Dataset[[#This Row],[Quantity]], "")</f>
        <v>16.52</v>
      </c>
      <c r="O524" s="2" t="b">
        <v>0</v>
      </c>
      <c r="P524" s="2" t="str">
        <f t="shared" si="17"/>
        <v/>
      </c>
    </row>
    <row r="525" spans="1:16" x14ac:dyDescent="0.35">
      <c r="A525" s="2" t="s">
        <v>1069</v>
      </c>
      <c r="B525" s="2" t="s">
        <v>1070</v>
      </c>
      <c r="C525" s="3">
        <v>45552</v>
      </c>
      <c r="D525" s="2" t="s">
        <v>20</v>
      </c>
      <c r="E525" s="2" t="s">
        <v>47</v>
      </c>
      <c r="G525" s="2">
        <v>99.1</v>
      </c>
      <c r="I525" s="2" t="s">
        <v>52</v>
      </c>
      <c r="J525" s="2" t="str">
        <f t="shared" si="16"/>
        <v>Sep</v>
      </c>
      <c r="K5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5" s="2" t="b">
        <v>1</v>
      </c>
      <c r="P525" s="2">
        <f t="shared" si="17"/>
        <v>183</v>
      </c>
    </row>
    <row r="526" spans="1:16" x14ac:dyDescent="0.35">
      <c r="A526" s="2" t="s">
        <v>1071</v>
      </c>
      <c r="B526" s="2" t="s">
        <v>1072</v>
      </c>
      <c r="C526" s="3">
        <v>45145</v>
      </c>
      <c r="D526" s="2" t="s">
        <v>37</v>
      </c>
      <c r="E526" s="2" t="s">
        <v>24</v>
      </c>
      <c r="F526" s="2">
        <v>5</v>
      </c>
      <c r="G526" s="2">
        <v>36.6</v>
      </c>
      <c r="H526" s="2">
        <v>183</v>
      </c>
      <c r="I526" s="2" t="s">
        <v>31</v>
      </c>
      <c r="J526" s="2" t="str">
        <f t="shared" si="16"/>
        <v>Aug</v>
      </c>
      <c r="K526" s="4">
        <f>IF(AND(ISNUMBER(Lab2_Dataset[[#This Row],[Revenue]]), ISNUMBER(Lab2_Dataset[[#This Row],[Quantity]]), Lab2_Dataset[[#This Row],[Quantity]]&lt;&gt;0), Lab2_Dataset[[#This Row],[Revenue]]/Lab2_Dataset[[#This Row],[Quantity]], "")</f>
        <v>36.6</v>
      </c>
      <c r="O526" s="2" t="b">
        <v>0</v>
      </c>
      <c r="P526" s="2">
        <f t="shared" si="17"/>
        <v>484.48</v>
      </c>
    </row>
    <row r="527" spans="1:16" x14ac:dyDescent="0.35">
      <c r="A527" s="2" t="s">
        <v>1073</v>
      </c>
      <c r="B527" s="2" t="s">
        <v>1074</v>
      </c>
      <c r="C527" s="3">
        <v>45598</v>
      </c>
      <c r="D527" s="2" t="s">
        <v>11</v>
      </c>
      <c r="E527" s="2" t="s">
        <v>24</v>
      </c>
      <c r="F527" s="2">
        <v>4</v>
      </c>
      <c r="G527" s="2">
        <v>121.12</v>
      </c>
      <c r="H527" s="2">
        <v>484.48</v>
      </c>
      <c r="I527" s="2" t="s">
        <v>38</v>
      </c>
      <c r="J527" s="2" t="str">
        <f t="shared" si="16"/>
        <v>Nov</v>
      </c>
      <c r="K527" s="4">
        <f>IF(AND(ISNUMBER(Lab2_Dataset[[#This Row],[Revenue]]), ISNUMBER(Lab2_Dataset[[#This Row],[Quantity]]), Lab2_Dataset[[#This Row],[Quantity]]&lt;&gt;0), Lab2_Dataset[[#This Row],[Revenue]]/Lab2_Dataset[[#This Row],[Quantity]], "")</f>
        <v>121.12</v>
      </c>
      <c r="O527" s="2" t="b">
        <v>0</v>
      </c>
      <c r="P527" s="2">
        <f t="shared" si="17"/>
        <v>484.32</v>
      </c>
    </row>
    <row r="528" spans="1:16" x14ac:dyDescent="0.35">
      <c r="A528" s="2" t="s">
        <v>1075</v>
      </c>
      <c r="B528" s="2" t="s">
        <v>1076</v>
      </c>
      <c r="C528" s="3">
        <v>45304</v>
      </c>
      <c r="D528" s="2" t="s">
        <v>69</v>
      </c>
      <c r="E528" s="2" t="s">
        <v>24</v>
      </c>
      <c r="F528" s="2">
        <v>3</v>
      </c>
      <c r="G528" s="2">
        <v>161.44</v>
      </c>
      <c r="H528" s="2">
        <v>484.32</v>
      </c>
      <c r="I528" s="2" t="s">
        <v>31</v>
      </c>
      <c r="J528" s="2" t="str">
        <f t="shared" si="16"/>
        <v>Jan</v>
      </c>
      <c r="K528" s="4">
        <f>IF(AND(ISNUMBER(Lab2_Dataset[[#This Row],[Revenue]]), ISNUMBER(Lab2_Dataset[[#This Row],[Quantity]]), Lab2_Dataset[[#This Row],[Quantity]]&lt;&gt;0), Lab2_Dataset[[#This Row],[Revenue]]/Lab2_Dataset[[#This Row],[Quantity]], "")</f>
        <v>161.44</v>
      </c>
      <c r="O528" s="2" t="b">
        <v>0</v>
      </c>
      <c r="P528" s="2" t="str">
        <f t="shared" si="17"/>
        <v/>
      </c>
    </row>
    <row r="529" spans="1:16" x14ac:dyDescent="0.35">
      <c r="A529" s="2" t="s">
        <v>1077</v>
      </c>
      <c r="B529" s="2" t="s">
        <v>1078</v>
      </c>
      <c r="C529" s="3">
        <v>45269</v>
      </c>
      <c r="D529" s="2" t="s">
        <v>69</v>
      </c>
      <c r="E529" s="2" t="s">
        <v>12</v>
      </c>
      <c r="G529" s="2">
        <v>39.67</v>
      </c>
      <c r="I529" s="2" t="s">
        <v>38</v>
      </c>
      <c r="J529" s="2" t="str">
        <f t="shared" si="16"/>
        <v>Dec</v>
      </c>
      <c r="K5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29" s="2" t="b">
        <v>1</v>
      </c>
      <c r="P529" s="2">
        <f t="shared" si="17"/>
        <v>164.56</v>
      </c>
    </row>
    <row r="530" spans="1:16" x14ac:dyDescent="0.35">
      <c r="A530" s="2" t="s">
        <v>1079</v>
      </c>
      <c r="B530" s="2" t="s">
        <v>1080</v>
      </c>
      <c r="C530" s="3">
        <v>45298</v>
      </c>
      <c r="D530" s="2" t="s">
        <v>27</v>
      </c>
      <c r="E530" s="2" t="s">
        <v>28</v>
      </c>
      <c r="F530" s="2">
        <v>4</v>
      </c>
      <c r="G530" s="2">
        <v>41.14</v>
      </c>
      <c r="H530" s="2">
        <v>164.56</v>
      </c>
      <c r="I530" s="2" t="s">
        <v>13</v>
      </c>
      <c r="J530" s="2" t="str">
        <f t="shared" si="16"/>
        <v>Jan</v>
      </c>
      <c r="K530" s="4">
        <f>IF(AND(ISNUMBER(Lab2_Dataset[[#This Row],[Revenue]]), ISNUMBER(Lab2_Dataset[[#This Row],[Quantity]]), Lab2_Dataset[[#This Row],[Quantity]]&lt;&gt;0), Lab2_Dataset[[#This Row],[Revenue]]/Lab2_Dataset[[#This Row],[Quantity]], "")</f>
        <v>41.14</v>
      </c>
      <c r="O530" s="2" t="b">
        <v>0</v>
      </c>
      <c r="P530" s="2">
        <f t="shared" si="17"/>
        <v>628.29</v>
      </c>
    </row>
    <row r="531" spans="1:16" x14ac:dyDescent="0.35">
      <c r="A531" s="2" t="s">
        <v>1081</v>
      </c>
      <c r="B531" s="2" t="s">
        <v>1082</v>
      </c>
      <c r="C531" s="3">
        <v>45648</v>
      </c>
      <c r="D531" s="2" t="s">
        <v>37</v>
      </c>
      <c r="E531" s="2" t="s">
        <v>16</v>
      </c>
      <c r="F531" s="2">
        <v>9</v>
      </c>
      <c r="G531" s="2">
        <v>69.81</v>
      </c>
      <c r="H531" s="2">
        <v>628.29</v>
      </c>
      <c r="I531" s="2" t="s">
        <v>21</v>
      </c>
      <c r="J531" s="2" t="str">
        <f t="shared" si="16"/>
        <v>Dec</v>
      </c>
      <c r="K531" s="4">
        <f>IF(AND(ISNUMBER(Lab2_Dataset[[#This Row],[Revenue]]), ISNUMBER(Lab2_Dataset[[#This Row],[Quantity]]), Lab2_Dataset[[#This Row],[Quantity]]&lt;&gt;0), Lab2_Dataset[[#This Row],[Revenue]]/Lab2_Dataset[[#This Row],[Quantity]], "")</f>
        <v>69.81</v>
      </c>
      <c r="O531" s="2" t="b">
        <v>0</v>
      </c>
      <c r="P531" s="2" t="str">
        <f t="shared" si="17"/>
        <v/>
      </c>
    </row>
    <row r="532" spans="1:16" x14ac:dyDescent="0.35">
      <c r="A532" s="2" t="s">
        <v>1083</v>
      </c>
      <c r="B532" s="2" t="s">
        <v>1084</v>
      </c>
      <c r="C532" s="3">
        <v>45499</v>
      </c>
      <c r="D532" s="2" t="s">
        <v>69</v>
      </c>
      <c r="E532" s="2" t="s">
        <v>12</v>
      </c>
      <c r="G532" s="2">
        <v>20.39</v>
      </c>
      <c r="I532" s="2" t="s">
        <v>52</v>
      </c>
      <c r="J532" s="2" t="str">
        <f t="shared" si="16"/>
        <v>Jul</v>
      </c>
      <c r="K5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2" s="2" t="b">
        <v>1</v>
      </c>
      <c r="P532" s="2">
        <f t="shared" si="17"/>
        <v>465.12</v>
      </c>
    </row>
    <row r="533" spans="1:16" x14ac:dyDescent="0.35">
      <c r="A533" s="2" t="s">
        <v>1085</v>
      </c>
      <c r="B533" s="2" t="s">
        <v>1086</v>
      </c>
      <c r="C533" s="3">
        <v>45363</v>
      </c>
      <c r="D533" s="2" t="s">
        <v>69</v>
      </c>
      <c r="E533" s="2" t="s">
        <v>47</v>
      </c>
      <c r="F533" s="2">
        <v>9</v>
      </c>
      <c r="G533" s="2">
        <v>51.68</v>
      </c>
      <c r="H533" s="2">
        <v>465.12</v>
      </c>
      <c r="I533" s="2" t="s">
        <v>38</v>
      </c>
      <c r="J533" s="2" t="str">
        <f t="shared" si="16"/>
        <v>Mar</v>
      </c>
      <c r="K533" s="4">
        <f>IF(AND(ISNUMBER(Lab2_Dataset[[#This Row],[Revenue]]), ISNUMBER(Lab2_Dataset[[#This Row],[Quantity]]), Lab2_Dataset[[#This Row],[Quantity]]&lt;&gt;0), Lab2_Dataset[[#This Row],[Revenue]]/Lab2_Dataset[[#This Row],[Quantity]], "")</f>
        <v>51.68</v>
      </c>
      <c r="O533" s="2" t="b">
        <v>0</v>
      </c>
      <c r="P533" s="2">
        <f t="shared" si="17"/>
        <v>102.33</v>
      </c>
    </row>
    <row r="534" spans="1:16" x14ac:dyDescent="0.35">
      <c r="A534" s="2" t="s">
        <v>1087</v>
      </c>
      <c r="B534" s="2" t="s">
        <v>1088</v>
      </c>
      <c r="C534" s="3">
        <v>45216</v>
      </c>
      <c r="D534" s="2" t="s">
        <v>27</v>
      </c>
      <c r="E534" s="2" t="s">
        <v>16</v>
      </c>
      <c r="F534" s="2">
        <v>1</v>
      </c>
      <c r="G534" s="2">
        <v>102.33</v>
      </c>
      <c r="H534" s="2">
        <v>102.33</v>
      </c>
      <c r="I534" s="2" t="s">
        <v>13</v>
      </c>
      <c r="J534" s="2" t="str">
        <f t="shared" si="16"/>
        <v>Oct</v>
      </c>
      <c r="K534" s="4">
        <f>IF(AND(ISNUMBER(Lab2_Dataset[[#This Row],[Revenue]]), ISNUMBER(Lab2_Dataset[[#This Row],[Quantity]]), Lab2_Dataset[[#This Row],[Quantity]]&lt;&gt;0), Lab2_Dataset[[#This Row],[Revenue]]/Lab2_Dataset[[#This Row],[Quantity]], "")</f>
        <v>102.33</v>
      </c>
      <c r="O534" s="2" t="b">
        <v>0</v>
      </c>
      <c r="P534" s="2" t="str">
        <f t="shared" si="17"/>
        <v/>
      </c>
    </row>
    <row r="535" spans="1:16" x14ac:dyDescent="0.35">
      <c r="A535" s="2" t="s">
        <v>1089</v>
      </c>
      <c r="B535" s="2" t="s">
        <v>1090</v>
      </c>
      <c r="C535" s="3">
        <v>45128</v>
      </c>
      <c r="D535" s="2" t="s">
        <v>11</v>
      </c>
      <c r="E535" s="2" t="s">
        <v>28</v>
      </c>
      <c r="G535" s="2">
        <v>78.88</v>
      </c>
      <c r="I535" s="2" t="s">
        <v>31</v>
      </c>
      <c r="J535" s="2" t="str">
        <f t="shared" si="16"/>
        <v>Jul</v>
      </c>
      <c r="K5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5" s="2" t="b">
        <v>1</v>
      </c>
      <c r="P535" s="2" t="str">
        <f t="shared" si="17"/>
        <v/>
      </c>
    </row>
    <row r="536" spans="1:16" x14ac:dyDescent="0.35">
      <c r="A536" s="2" t="s">
        <v>1091</v>
      </c>
      <c r="B536" s="2" t="s">
        <v>1092</v>
      </c>
      <c r="C536" s="3">
        <v>45474</v>
      </c>
      <c r="D536" s="2" t="s">
        <v>69</v>
      </c>
      <c r="E536" s="2" t="s">
        <v>28</v>
      </c>
      <c r="G536" s="2">
        <v>142.84</v>
      </c>
      <c r="I536" s="2" t="s">
        <v>17</v>
      </c>
      <c r="J536" s="2" t="str">
        <f t="shared" si="16"/>
        <v>Jul</v>
      </c>
      <c r="K5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6" s="2" t="b">
        <v>1</v>
      </c>
      <c r="P536" s="2" t="str">
        <f t="shared" si="17"/>
        <v/>
      </c>
    </row>
    <row r="537" spans="1:16" x14ac:dyDescent="0.35">
      <c r="A537" s="2" t="s">
        <v>1093</v>
      </c>
      <c r="B537" s="2" t="s">
        <v>1094</v>
      </c>
      <c r="C537" s="3">
        <v>45332</v>
      </c>
      <c r="D537" s="2" t="s">
        <v>20</v>
      </c>
      <c r="E537" s="2" t="s">
        <v>16</v>
      </c>
      <c r="G537" s="2">
        <v>149.83000000000001</v>
      </c>
      <c r="I537" s="2" t="s">
        <v>52</v>
      </c>
      <c r="J537" s="2" t="str">
        <f t="shared" si="16"/>
        <v>Feb</v>
      </c>
      <c r="K5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7" s="2" t="b">
        <v>1</v>
      </c>
      <c r="P537" s="2">
        <f t="shared" si="17"/>
        <v>187.56</v>
      </c>
    </row>
    <row r="538" spans="1:16" x14ac:dyDescent="0.35">
      <c r="A538" s="2" t="s">
        <v>1095</v>
      </c>
      <c r="B538" s="2" t="s">
        <v>1096</v>
      </c>
      <c r="C538" s="3">
        <v>45129</v>
      </c>
      <c r="D538" s="2" t="s">
        <v>11</v>
      </c>
      <c r="E538" s="2" t="s">
        <v>47</v>
      </c>
      <c r="F538" s="2">
        <v>6</v>
      </c>
      <c r="G538" s="2">
        <v>31.26</v>
      </c>
      <c r="H538" s="2">
        <v>187.56</v>
      </c>
      <c r="I538" s="2" t="s">
        <v>52</v>
      </c>
      <c r="J538" s="2" t="str">
        <f t="shared" si="16"/>
        <v>Jul</v>
      </c>
      <c r="K538" s="4">
        <f>IF(AND(ISNUMBER(Lab2_Dataset[[#This Row],[Revenue]]), ISNUMBER(Lab2_Dataset[[#This Row],[Quantity]]), Lab2_Dataset[[#This Row],[Quantity]]&lt;&gt;0), Lab2_Dataset[[#This Row],[Revenue]]/Lab2_Dataset[[#This Row],[Quantity]], "")</f>
        <v>31.26</v>
      </c>
      <c r="O538" s="2" t="b">
        <v>0</v>
      </c>
      <c r="P538" s="2" t="str">
        <f t="shared" si="17"/>
        <v/>
      </c>
    </row>
    <row r="539" spans="1:16" x14ac:dyDescent="0.35">
      <c r="A539" s="2" t="s">
        <v>1097</v>
      </c>
      <c r="B539" s="2" t="s">
        <v>1098</v>
      </c>
      <c r="C539" s="3">
        <v>45097</v>
      </c>
      <c r="D539" s="2" t="s">
        <v>34</v>
      </c>
      <c r="E539" s="2" t="s">
        <v>28</v>
      </c>
      <c r="G539" s="2">
        <v>94.81</v>
      </c>
      <c r="I539" s="2" t="s">
        <v>17</v>
      </c>
      <c r="J539" s="2" t="str">
        <f t="shared" si="16"/>
        <v>Jun</v>
      </c>
      <c r="K5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39" s="2" t="b">
        <v>1</v>
      </c>
      <c r="P539" s="2" t="str">
        <f t="shared" si="17"/>
        <v/>
      </c>
    </row>
    <row r="540" spans="1:16" x14ac:dyDescent="0.35">
      <c r="A540" s="2" t="s">
        <v>1099</v>
      </c>
      <c r="B540" s="2" t="s">
        <v>1100</v>
      </c>
      <c r="C540" s="3">
        <v>45408</v>
      </c>
      <c r="D540" s="2" t="s">
        <v>37</v>
      </c>
      <c r="E540" s="2" t="s">
        <v>12</v>
      </c>
      <c r="G540" s="2">
        <v>197.97</v>
      </c>
      <c r="I540" s="2" t="s">
        <v>17</v>
      </c>
      <c r="J540" s="2" t="str">
        <f t="shared" si="16"/>
        <v>Apr</v>
      </c>
      <c r="K54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40" s="2" t="b">
        <v>1</v>
      </c>
      <c r="P540" s="2">
        <f t="shared" si="17"/>
        <v>1180.3500000000001</v>
      </c>
    </row>
    <row r="541" spans="1:16" x14ac:dyDescent="0.35">
      <c r="A541" s="2" t="s">
        <v>1101</v>
      </c>
      <c r="B541" s="2" t="s">
        <v>1102</v>
      </c>
      <c r="C541" s="3">
        <v>45347</v>
      </c>
      <c r="D541" s="2" t="s">
        <v>20</v>
      </c>
      <c r="E541" s="2" t="s">
        <v>12</v>
      </c>
      <c r="F541" s="2">
        <v>9</v>
      </c>
      <c r="G541" s="2">
        <v>131.15</v>
      </c>
      <c r="H541" s="2">
        <v>1180.3499999999999</v>
      </c>
      <c r="I541" s="2" t="s">
        <v>31</v>
      </c>
      <c r="J541" s="2" t="str">
        <f t="shared" si="16"/>
        <v>Feb</v>
      </c>
      <c r="K541" s="4">
        <f>IF(AND(ISNUMBER(Lab2_Dataset[[#This Row],[Revenue]]), ISNUMBER(Lab2_Dataset[[#This Row],[Quantity]]), Lab2_Dataset[[#This Row],[Quantity]]&lt;&gt;0), Lab2_Dataset[[#This Row],[Revenue]]/Lab2_Dataset[[#This Row],[Quantity]], "")</f>
        <v>131.14999999999998</v>
      </c>
      <c r="O541" s="2" t="b">
        <v>0</v>
      </c>
      <c r="P541" s="2">
        <f t="shared" si="17"/>
        <v>1418.96</v>
      </c>
    </row>
    <row r="542" spans="1:16" x14ac:dyDescent="0.35">
      <c r="A542" s="2" t="s">
        <v>1103</v>
      </c>
      <c r="B542" s="2" t="s">
        <v>1104</v>
      </c>
      <c r="C542" s="3">
        <v>45245</v>
      </c>
      <c r="D542" s="2" t="s">
        <v>37</v>
      </c>
      <c r="E542" s="2" t="s">
        <v>12</v>
      </c>
      <c r="F542" s="2">
        <v>8</v>
      </c>
      <c r="G542" s="2">
        <v>177.37</v>
      </c>
      <c r="H542" s="2">
        <v>1418.96</v>
      </c>
      <c r="I542" s="2" t="s">
        <v>52</v>
      </c>
      <c r="J542" s="2" t="str">
        <f t="shared" si="16"/>
        <v>Nov</v>
      </c>
      <c r="K542" s="4">
        <f>IF(AND(ISNUMBER(Lab2_Dataset[[#This Row],[Revenue]]), ISNUMBER(Lab2_Dataset[[#This Row],[Quantity]]), Lab2_Dataset[[#This Row],[Quantity]]&lt;&gt;0), Lab2_Dataset[[#This Row],[Revenue]]/Lab2_Dataset[[#This Row],[Quantity]], "")</f>
        <v>177.37</v>
      </c>
      <c r="O542" s="2" t="b">
        <v>0</v>
      </c>
      <c r="P542" s="2" t="str">
        <f t="shared" si="17"/>
        <v/>
      </c>
    </row>
    <row r="543" spans="1:16" x14ac:dyDescent="0.35">
      <c r="A543" s="2" t="s">
        <v>1105</v>
      </c>
      <c r="B543" s="2" t="s">
        <v>1106</v>
      </c>
      <c r="C543" s="3">
        <v>45218</v>
      </c>
      <c r="D543" s="2" t="s">
        <v>34</v>
      </c>
      <c r="E543" s="2" t="s">
        <v>16</v>
      </c>
      <c r="G543" s="2">
        <v>56.71</v>
      </c>
      <c r="I543" s="2" t="s">
        <v>17</v>
      </c>
      <c r="J543" s="2" t="str">
        <f t="shared" si="16"/>
        <v>Oct</v>
      </c>
      <c r="K5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43" s="2" t="b">
        <v>1</v>
      </c>
      <c r="P543" s="2" t="str">
        <f t="shared" si="17"/>
        <v/>
      </c>
    </row>
    <row r="544" spans="1:16" x14ac:dyDescent="0.35">
      <c r="A544" s="2" t="s">
        <v>1107</v>
      </c>
      <c r="B544" s="2" t="s">
        <v>1108</v>
      </c>
      <c r="C544" s="3">
        <v>45058</v>
      </c>
      <c r="D544" s="2" t="s">
        <v>69</v>
      </c>
      <c r="E544" s="2" t="s">
        <v>12</v>
      </c>
      <c r="G544" s="2">
        <v>149.19999999999999</v>
      </c>
      <c r="I544" s="2" t="s">
        <v>21</v>
      </c>
      <c r="J544" s="2" t="str">
        <f t="shared" si="16"/>
        <v>May</v>
      </c>
      <c r="K54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44" s="2" t="b">
        <v>1</v>
      </c>
      <c r="P544" s="2" t="str">
        <f t="shared" si="17"/>
        <v/>
      </c>
    </row>
    <row r="545" spans="1:16" x14ac:dyDescent="0.35">
      <c r="A545" s="2" t="s">
        <v>1109</v>
      </c>
      <c r="B545" s="2" t="s">
        <v>1110</v>
      </c>
      <c r="C545" s="3">
        <v>45759</v>
      </c>
      <c r="D545" s="2" t="s">
        <v>27</v>
      </c>
      <c r="E545" s="2" t="s">
        <v>16</v>
      </c>
      <c r="G545" s="2">
        <v>71.69</v>
      </c>
      <c r="I545" s="2" t="s">
        <v>17</v>
      </c>
      <c r="J545" s="2" t="str">
        <f t="shared" si="16"/>
        <v>Apr</v>
      </c>
      <c r="K54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45" s="2" t="b">
        <v>1</v>
      </c>
      <c r="P545" s="2">
        <f t="shared" si="17"/>
        <v>1590.08</v>
      </c>
    </row>
    <row r="546" spans="1:16" x14ac:dyDescent="0.35">
      <c r="A546" s="2" t="s">
        <v>1111</v>
      </c>
      <c r="B546" s="2" t="s">
        <v>1112</v>
      </c>
      <c r="C546" s="3">
        <v>45571</v>
      </c>
      <c r="D546" s="2" t="s">
        <v>34</v>
      </c>
      <c r="E546" s="2" t="s">
        <v>24</v>
      </c>
      <c r="F546" s="2">
        <v>8</v>
      </c>
      <c r="G546" s="2">
        <v>198.76</v>
      </c>
      <c r="H546" s="2">
        <v>1590.08</v>
      </c>
      <c r="I546" s="2" t="s">
        <v>17</v>
      </c>
      <c r="J546" s="2" t="str">
        <f t="shared" si="16"/>
        <v>Oct</v>
      </c>
      <c r="K546" s="4">
        <f>IF(AND(ISNUMBER(Lab2_Dataset[[#This Row],[Revenue]]), ISNUMBER(Lab2_Dataset[[#This Row],[Quantity]]), Lab2_Dataset[[#This Row],[Quantity]]&lt;&gt;0), Lab2_Dataset[[#This Row],[Revenue]]/Lab2_Dataset[[#This Row],[Quantity]], "")</f>
        <v>198.76</v>
      </c>
      <c r="O546" s="2" t="b">
        <v>0</v>
      </c>
      <c r="P546" s="2">
        <f t="shared" si="17"/>
        <v>744.6</v>
      </c>
    </row>
    <row r="547" spans="1:16" x14ac:dyDescent="0.35">
      <c r="A547" s="2" t="s">
        <v>1113</v>
      </c>
      <c r="B547" s="2" t="s">
        <v>1114</v>
      </c>
      <c r="C547" s="3">
        <v>45221</v>
      </c>
      <c r="D547" s="2" t="s">
        <v>20</v>
      </c>
      <c r="E547" s="2" t="s">
        <v>28</v>
      </c>
      <c r="F547" s="2">
        <v>4</v>
      </c>
      <c r="G547" s="2">
        <v>186.15</v>
      </c>
      <c r="H547" s="2">
        <v>744.6</v>
      </c>
      <c r="I547" s="2" t="s">
        <v>31</v>
      </c>
      <c r="J547" s="2" t="str">
        <f t="shared" si="16"/>
        <v>Oct</v>
      </c>
      <c r="K547" s="4">
        <f>IF(AND(ISNUMBER(Lab2_Dataset[[#This Row],[Revenue]]), ISNUMBER(Lab2_Dataset[[#This Row],[Quantity]]), Lab2_Dataset[[#This Row],[Quantity]]&lt;&gt;0), Lab2_Dataset[[#This Row],[Revenue]]/Lab2_Dataset[[#This Row],[Quantity]], "")</f>
        <v>186.15</v>
      </c>
      <c r="O547" s="2" t="b">
        <v>0</v>
      </c>
      <c r="P547" s="2">
        <f t="shared" si="17"/>
        <v>1137.1199999999999</v>
      </c>
    </row>
    <row r="548" spans="1:16" x14ac:dyDescent="0.35">
      <c r="A548" s="2" t="s">
        <v>1115</v>
      </c>
      <c r="B548" s="2" t="s">
        <v>1116</v>
      </c>
      <c r="C548" s="3">
        <v>45360</v>
      </c>
      <c r="D548" s="2" t="s">
        <v>34</v>
      </c>
      <c r="E548" s="2" t="s">
        <v>12</v>
      </c>
      <c r="F548" s="2">
        <v>8</v>
      </c>
      <c r="G548" s="2">
        <v>142.13999999999999</v>
      </c>
      <c r="H548" s="2">
        <v>1137.1199999999999</v>
      </c>
      <c r="I548" s="2" t="s">
        <v>38</v>
      </c>
      <c r="J548" s="2" t="str">
        <f t="shared" si="16"/>
        <v>Mar</v>
      </c>
      <c r="K548" s="4">
        <f>IF(AND(ISNUMBER(Lab2_Dataset[[#This Row],[Revenue]]), ISNUMBER(Lab2_Dataset[[#This Row],[Quantity]]), Lab2_Dataset[[#This Row],[Quantity]]&lt;&gt;0), Lab2_Dataset[[#This Row],[Revenue]]/Lab2_Dataset[[#This Row],[Quantity]], "")</f>
        <v>142.13999999999999</v>
      </c>
      <c r="O548" s="2" t="b">
        <v>0</v>
      </c>
      <c r="P548" s="2">
        <f t="shared" si="17"/>
        <v>277.3</v>
      </c>
    </row>
    <row r="549" spans="1:16" x14ac:dyDescent="0.35">
      <c r="A549" s="2" t="s">
        <v>1117</v>
      </c>
      <c r="B549" s="2" t="s">
        <v>1118</v>
      </c>
      <c r="C549" s="3">
        <v>45220</v>
      </c>
      <c r="D549" s="2" t="s">
        <v>34</v>
      </c>
      <c r="E549" s="2" t="s">
        <v>28</v>
      </c>
      <c r="F549" s="2">
        <v>2</v>
      </c>
      <c r="G549" s="2">
        <v>138.65</v>
      </c>
      <c r="H549" s="2">
        <v>277.3</v>
      </c>
      <c r="I549" s="2" t="s">
        <v>52</v>
      </c>
      <c r="J549" s="2" t="str">
        <f t="shared" si="16"/>
        <v>Oct</v>
      </c>
      <c r="K549" s="4">
        <f>IF(AND(ISNUMBER(Lab2_Dataset[[#This Row],[Revenue]]), ISNUMBER(Lab2_Dataset[[#This Row],[Quantity]]), Lab2_Dataset[[#This Row],[Quantity]]&lt;&gt;0), Lab2_Dataset[[#This Row],[Revenue]]/Lab2_Dataset[[#This Row],[Quantity]], "")</f>
        <v>138.65</v>
      </c>
      <c r="O549" s="2" t="b">
        <v>0</v>
      </c>
      <c r="P549" s="2">
        <f t="shared" si="17"/>
        <v>289.85000000000002</v>
      </c>
    </row>
    <row r="550" spans="1:16" x14ac:dyDescent="0.35">
      <c r="A550" s="2" t="s">
        <v>1119</v>
      </c>
      <c r="B550" s="2" t="s">
        <v>1120</v>
      </c>
      <c r="C550" s="3">
        <v>45275</v>
      </c>
      <c r="D550" s="2" t="s">
        <v>34</v>
      </c>
      <c r="E550" s="2" t="s">
        <v>28</v>
      </c>
      <c r="F550" s="2">
        <v>5</v>
      </c>
      <c r="G550" s="2">
        <v>57.97</v>
      </c>
      <c r="H550" s="2">
        <v>289.85000000000002</v>
      </c>
      <c r="I550" s="2" t="s">
        <v>38</v>
      </c>
      <c r="J550" s="2" t="str">
        <f t="shared" si="16"/>
        <v>Dec</v>
      </c>
      <c r="K550" s="4">
        <f>IF(AND(ISNUMBER(Lab2_Dataset[[#This Row],[Revenue]]), ISNUMBER(Lab2_Dataset[[#This Row],[Quantity]]), Lab2_Dataset[[#This Row],[Quantity]]&lt;&gt;0), Lab2_Dataset[[#This Row],[Revenue]]/Lab2_Dataset[[#This Row],[Quantity]], "")</f>
        <v>57.970000000000006</v>
      </c>
      <c r="O550" s="2" t="b">
        <v>0</v>
      </c>
      <c r="P550" s="2" t="str">
        <f t="shared" si="17"/>
        <v/>
      </c>
    </row>
    <row r="551" spans="1:16" x14ac:dyDescent="0.35">
      <c r="A551" s="2" t="s">
        <v>1121</v>
      </c>
      <c r="B551" s="2" t="s">
        <v>1122</v>
      </c>
      <c r="C551" s="3">
        <v>45195</v>
      </c>
      <c r="D551" s="2" t="s">
        <v>34</v>
      </c>
      <c r="E551" s="2" t="s">
        <v>12</v>
      </c>
      <c r="G551" s="2">
        <v>49.34</v>
      </c>
      <c r="I551" s="2" t="s">
        <v>52</v>
      </c>
      <c r="J551" s="2" t="str">
        <f t="shared" si="16"/>
        <v>Sep</v>
      </c>
      <c r="K55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1" s="2" t="b">
        <v>1</v>
      </c>
      <c r="P551" s="2" t="str">
        <f t="shared" si="17"/>
        <v/>
      </c>
    </row>
    <row r="552" spans="1:16" x14ac:dyDescent="0.35">
      <c r="A552" s="2" t="s">
        <v>1123</v>
      </c>
      <c r="B552" s="2" t="s">
        <v>1124</v>
      </c>
      <c r="C552" s="3">
        <v>45764</v>
      </c>
      <c r="D552" s="2" t="s">
        <v>11</v>
      </c>
      <c r="E552" s="2" t="s">
        <v>16</v>
      </c>
      <c r="G552" s="2">
        <v>185.54</v>
      </c>
      <c r="I552" s="2" t="s">
        <v>31</v>
      </c>
      <c r="J552" s="2" t="str">
        <f t="shared" si="16"/>
        <v>Apr</v>
      </c>
      <c r="K5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2" s="2" t="b">
        <v>1</v>
      </c>
      <c r="P552" s="2">
        <f t="shared" si="17"/>
        <v>894</v>
      </c>
    </row>
    <row r="553" spans="1:16" x14ac:dyDescent="0.35">
      <c r="A553" s="2" t="s">
        <v>1125</v>
      </c>
      <c r="B553" s="2" t="s">
        <v>1126</v>
      </c>
      <c r="C553" s="3">
        <v>45642</v>
      </c>
      <c r="D553" s="2" t="s">
        <v>34</v>
      </c>
      <c r="E553" s="2" t="s">
        <v>47</v>
      </c>
      <c r="F553" s="2">
        <v>6</v>
      </c>
      <c r="G553" s="2">
        <v>149</v>
      </c>
      <c r="I553" s="2" t="s">
        <v>17</v>
      </c>
      <c r="J553" s="2" t="str">
        <f t="shared" si="16"/>
        <v>Dec</v>
      </c>
      <c r="K5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3" s="2" t="b">
        <v>0</v>
      </c>
      <c r="P553" s="2">
        <f t="shared" si="17"/>
        <v>87.62</v>
      </c>
    </row>
    <row r="554" spans="1:16" x14ac:dyDescent="0.35">
      <c r="A554" s="2" t="s">
        <v>1127</v>
      </c>
      <c r="B554" s="2" t="s">
        <v>1128</v>
      </c>
      <c r="C554" s="3">
        <v>45114</v>
      </c>
      <c r="D554" s="2" t="s">
        <v>27</v>
      </c>
      <c r="E554" s="2" t="s">
        <v>28</v>
      </c>
      <c r="F554" s="2">
        <v>1</v>
      </c>
      <c r="G554" s="2">
        <v>87.62</v>
      </c>
      <c r="I554" s="2" t="s">
        <v>17</v>
      </c>
      <c r="J554" s="2" t="str">
        <f t="shared" si="16"/>
        <v>Jul</v>
      </c>
      <c r="K55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4" s="2" t="b">
        <v>0</v>
      </c>
      <c r="P554" s="2" t="str">
        <f t="shared" si="17"/>
        <v/>
      </c>
    </row>
    <row r="555" spans="1:16" x14ac:dyDescent="0.35">
      <c r="A555" s="2" t="s">
        <v>1129</v>
      </c>
      <c r="B555" s="2" t="s">
        <v>1130</v>
      </c>
      <c r="C555" s="3">
        <v>45331</v>
      </c>
      <c r="D555" s="2" t="s">
        <v>20</v>
      </c>
      <c r="E555" s="2" t="s">
        <v>16</v>
      </c>
      <c r="G555" s="2">
        <v>63.94</v>
      </c>
      <c r="I555" s="2" t="s">
        <v>21</v>
      </c>
      <c r="J555" s="2" t="str">
        <f t="shared" si="16"/>
        <v>Feb</v>
      </c>
      <c r="K5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5" s="2" t="b">
        <v>1</v>
      </c>
      <c r="P555" s="2" t="str">
        <f t="shared" si="17"/>
        <v/>
      </c>
    </row>
    <row r="556" spans="1:16" x14ac:dyDescent="0.35">
      <c r="A556" s="2" t="s">
        <v>1131</v>
      </c>
      <c r="B556" s="2" t="s">
        <v>1132</v>
      </c>
      <c r="C556" s="3">
        <v>45210</v>
      </c>
      <c r="D556" s="2" t="s">
        <v>37</v>
      </c>
      <c r="E556" s="2" t="s">
        <v>28</v>
      </c>
      <c r="G556" s="2">
        <v>96.64</v>
      </c>
      <c r="I556" s="2" t="s">
        <v>21</v>
      </c>
      <c r="J556" s="2" t="str">
        <f t="shared" si="16"/>
        <v>Oct</v>
      </c>
      <c r="K55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6" s="2" t="b">
        <v>1</v>
      </c>
      <c r="P556" s="2">
        <f t="shared" si="17"/>
        <v>253.15</v>
      </c>
    </row>
    <row r="557" spans="1:16" x14ac:dyDescent="0.35">
      <c r="A557" s="2" t="s">
        <v>1133</v>
      </c>
      <c r="B557" s="2" t="s">
        <v>1134</v>
      </c>
      <c r="C557" s="3">
        <v>45430</v>
      </c>
      <c r="D557" s="2" t="s">
        <v>11</v>
      </c>
      <c r="E557" s="2" t="s">
        <v>47</v>
      </c>
      <c r="F557" s="2">
        <v>5</v>
      </c>
      <c r="G557" s="2">
        <v>50.63</v>
      </c>
      <c r="H557" s="2">
        <v>253.15</v>
      </c>
      <c r="I557" s="2" t="s">
        <v>13</v>
      </c>
      <c r="J557" s="2" t="str">
        <f t="shared" si="16"/>
        <v>May</v>
      </c>
      <c r="K557" s="4">
        <f>IF(AND(ISNUMBER(Lab2_Dataset[[#This Row],[Revenue]]), ISNUMBER(Lab2_Dataset[[#This Row],[Quantity]]), Lab2_Dataset[[#This Row],[Quantity]]&lt;&gt;0), Lab2_Dataset[[#This Row],[Revenue]]/Lab2_Dataset[[#This Row],[Quantity]], "")</f>
        <v>50.63</v>
      </c>
      <c r="O557" s="2" t="b">
        <v>0</v>
      </c>
      <c r="P557" s="2" t="str">
        <f t="shared" si="17"/>
        <v/>
      </c>
    </row>
    <row r="558" spans="1:16" x14ac:dyDescent="0.35">
      <c r="A558" s="2" t="s">
        <v>1135</v>
      </c>
      <c r="B558" s="2" t="s">
        <v>1136</v>
      </c>
      <c r="C558" s="3">
        <v>45266</v>
      </c>
      <c r="D558" s="2" t="s">
        <v>37</v>
      </c>
      <c r="E558" s="2" t="s">
        <v>28</v>
      </c>
      <c r="G558" s="2">
        <v>101.9</v>
      </c>
      <c r="I558" s="2" t="s">
        <v>52</v>
      </c>
      <c r="J558" s="2" t="str">
        <f t="shared" si="16"/>
        <v>Dec</v>
      </c>
      <c r="K55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58" s="2" t="b">
        <v>1</v>
      </c>
      <c r="P558" s="2">
        <f t="shared" si="17"/>
        <v>342.69</v>
      </c>
    </row>
    <row r="559" spans="1:16" x14ac:dyDescent="0.35">
      <c r="A559" s="2" t="s">
        <v>1137</v>
      </c>
      <c r="B559" s="2" t="s">
        <v>1138</v>
      </c>
      <c r="C559" s="3">
        <v>45265</v>
      </c>
      <c r="D559" s="2" t="s">
        <v>37</v>
      </c>
      <c r="E559" s="2" t="s">
        <v>47</v>
      </c>
      <c r="F559" s="2">
        <v>3</v>
      </c>
      <c r="G559" s="2">
        <v>114.23</v>
      </c>
      <c r="H559" s="2">
        <v>342.69</v>
      </c>
      <c r="I559" s="2" t="s">
        <v>13</v>
      </c>
      <c r="J559" s="2" t="str">
        <f t="shared" si="16"/>
        <v>Dec</v>
      </c>
      <c r="K559" s="4">
        <f>IF(AND(ISNUMBER(Lab2_Dataset[[#This Row],[Revenue]]), ISNUMBER(Lab2_Dataset[[#This Row],[Quantity]]), Lab2_Dataset[[#This Row],[Quantity]]&lt;&gt;0), Lab2_Dataset[[#This Row],[Revenue]]/Lab2_Dataset[[#This Row],[Quantity]], "")</f>
        <v>114.23</v>
      </c>
      <c r="O559" s="2" t="b">
        <v>0</v>
      </c>
      <c r="P559" s="2" t="str">
        <f t="shared" si="17"/>
        <v/>
      </c>
    </row>
    <row r="560" spans="1:16" x14ac:dyDescent="0.35">
      <c r="A560" s="2" t="s">
        <v>1139</v>
      </c>
      <c r="B560" s="2" t="s">
        <v>1140</v>
      </c>
      <c r="C560" s="3">
        <v>45219</v>
      </c>
      <c r="D560" s="2" t="s">
        <v>37</v>
      </c>
      <c r="E560" s="2" t="s">
        <v>28</v>
      </c>
      <c r="G560" s="2">
        <v>99.74</v>
      </c>
      <c r="I560" s="2" t="s">
        <v>31</v>
      </c>
      <c r="J560" s="2" t="str">
        <f t="shared" si="16"/>
        <v>Oct</v>
      </c>
      <c r="K56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60" s="2" t="b">
        <v>1</v>
      </c>
      <c r="P560" s="2">
        <f t="shared" si="17"/>
        <v>92.26</v>
      </c>
    </row>
    <row r="561" spans="1:16" x14ac:dyDescent="0.35">
      <c r="A561" s="2" t="s">
        <v>1141</v>
      </c>
      <c r="B561" s="2" t="s">
        <v>1142</v>
      </c>
      <c r="C561" s="3">
        <v>45577</v>
      </c>
      <c r="D561" s="2" t="s">
        <v>27</v>
      </c>
      <c r="E561" s="2" t="s">
        <v>28</v>
      </c>
      <c r="F561" s="2">
        <v>2</v>
      </c>
      <c r="G561" s="2">
        <v>46.13</v>
      </c>
      <c r="H561" s="2">
        <v>92.26</v>
      </c>
      <c r="I561" s="2" t="s">
        <v>38</v>
      </c>
      <c r="J561" s="2" t="str">
        <f t="shared" si="16"/>
        <v>Oct</v>
      </c>
      <c r="K561" s="4">
        <f>IF(AND(ISNUMBER(Lab2_Dataset[[#This Row],[Revenue]]), ISNUMBER(Lab2_Dataset[[#This Row],[Quantity]]), Lab2_Dataset[[#This Row],[Quantity]]&lt;&gt;0), Lab2_Dataset[[#This Row],[Revenue]]/Lab2_Dataset[[#This Row],[Quantity]], "")</f>
        <v>46.13</v>
      </c>
      <c r="O561" s="2" t="b">
        <v>0</v>
      </c>
      <c r="P561" s="2">
        <f t="shared" si="17"/>
        <v>542.22</v>
      </c>
    </row>
    <row r="562" spans="1:16" x14ac:dyDescent="0.35">
      <c r="A562" s="2" t="s">
        <v>1143</v>
      </c>
      <c r="B562" s="2" t="s">
        <v>1144</v>
      </c>
      <c r="C562" s="3">
        <v>45189</v>
      </c>
      <c r="D562" s="2" t="s">
        <v>20</v>
      </c>
      <c r="E562" s="2" t="s">
        <v>16</v>
      </c>
      <c r="F562" s="2">
        <v>3</v>
      </c>
      <c r="G562" s="2">
        <v>180.74</v>
      </c>
      <c r="H562" s="2">
        <v>542.22</v>
      </c>
      <c r="I562" s="2" t="s">
        <v>38</v>
      </c>
      <c r="J562" s="2" t="str">
        <f t="shared" si="16"/>
        <v>Sep</v>
      </c>
      <c r="K562" s="4">
        <f>IF(AND(ISNUMBER(Lab2_Dataset[[#This Row],[Revenue]]), ISNUMBER(Lab2_Dataset[[#This Row],[Quantity]]), Lab2_Dataset[[#This Row],[Quantity]]&lt;&gt;0), Lab2_Dataset[[#This Row],[Revenue]]/Lab2_Dataset[[#This Row],[Quantity]], "")</f>
        <v>180.74</v>
      </c>
      <c r="O562" s="2" t="b">
        <v>0</v>
      </c>
      <c r="P562" s="2" t="str">
        <f t="shared" si="17"/>
        <v/>
      </c>
    </row>
    <row r="563" spans="1:16" x14ac:dyDescent="0.35">
      <c r="A563" s="2" t="s">
        <v>1145</v>
      </c>
      <c r="B563" s="2" t="s">
        <v>1146</v>
      </c>
      <c r="C563" s="3">
        <v>45171</v>
      </c>
      <c r="D563" s="2" t="s">
        <v>27</v>
      </c>
      <c r="E563" s="2" t="s">
        <v>12</v>
      </c>
      <c r="G563" s="2">
        <v>20.59</v>
      </c>
      <c r="I563" s="2" t="s">
        <v>13</v>
      </c>
      <c r="J563" s="2" t="str">
        <f t="shared" si="16"/>
        <v>Sep</v>
      </c>
      <c r="K5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63" s="2" t="b">
        <v>1</v>
      </c>
      <c r="P563" s="2">
        <f t="shared" si="17"/>
        <v>1510.02</v>
      </c>
    </row>
    <row r="564" spans="1:16" x14ac:dyDescent="0.35">
      <c r="A564" s="2" t="s">
        <v>1147</v>
      </c>
      <c r="B564" s="2" t="s">
        <v>1148</v>
      </c>
      <c r="C564" s="3">
        <v>45566</v>
      </c>
      <c r="D564" s="2" t="s">
        <v>34</v>
      </c>
      <c r="E564" s="2" t="s">
        <v>24</v>
      </c>
      <c r="F564" s="2">
        <v>9</v>
      </c>
      <c r="G564" s="2">
        <v>167.78</v>
      </c>
      <c r="H564" s="2">
        <v>1510.02</v>
      </c>
      <c r="I564" s="2" t="s">
        <v>21</v>
      </c>
      <c r="J564" s="2" t="str">
        <f t="shared" si="16"/>
        <v>Oct</v>
      </c>
      <c r="K564" s="4">
        <f>IF(AND(ISNUMBER(Lab2_Dataset[[#This Row],[Revenue]]), ISNUMBER(Lab2_Dataset[[#This Row],[Quantity]]), Lab2_Dataset[[#This Row],[Quantity]]&lt;&gt;0), Lab2_Dataset[[#This Row],[Revenue]]/Lab2_Dataset[[#This Row],[Quantity]], "")</f>
        <v>167.78</v>
      </c>
      <c r="O564" s="2" t="b">
        <v>0</v>
      </c>
      <c r="P564" s="2">
        <f t="shared" si="17"/>
        <v>229.22</v>
      </c>
    </row>
    <row r="565" spans="1:16" x14ac:dyDescent="0.35">
      <c r="A565" s="2" t="s">
        <v>1149</v>
      </c>
      <c r="B565" s="2" t="s">
        <v>1150</v>
      </c>
      <c r="C565" s="3">
        <v>45251</v>
      </c>
      <c r="D565" s="2" t="s">
        <v>34</v>
      </c>
      <c r="E565" s="2" t="s">
        <v>47</v>
      </c>
      <c r="F565" s="2">
        <v>2</v>
      </c>
      <c r="G565" s="2">
        <v>114.61</v>
      </c>
      <c r="H565" s="2">
        <v>229.22</v>
      </c>
      <c r="I565" s="2" t="s">
        <v>21</v>
      </c>
      <c r="J565" s="2" t="str">
        <f t="shared" si="16"/>
        <v>Nov</v>
      </c>
      <c r="K565" s="4">
        <f>IF(AND(ISNUMBER(Lab2_Dataset[[#This Row],[Revenue]]), ISNUMBER(Lab2_Dataset[[#This Row],[Quantity]]), Lab2_Dataset[[#This Row],[Quantity]]&lt;&gt;0), Lab2_Dataset[[#This Row],[Revenue]]/Lab2_Dataset[[#This Row],[Quantity]], "")</f>
        <v>114.61</v>
      </c>
      <c r="O565" s="2" t="b">
        <v>0</v>
      </c>
      <c r="P565" s="2">
        <f t="shared" si="17"/>
        <v>1427.28</v>
      </c>
    </row>
    <row r="566" spans="1:16" x14ac:dyDescent="0.35">
      <c r="A566" s="2" t="s">
        <v>1151</v>
      </c>
      <c r="B566" s="2" t="s">
        <v>1152</v>
      </c>
      <c r="C566" s="3">
        <v>45523</v>
      </c>
      <c r="D566" s="2" t="s">
        <v>37</v>
      </c>
      <c r="E566" s="2" t="s">
        <v>47</v>
      </c>
      <c r="F566" s="2">
        <v>8</v>
      </c>
      <c r="G566" s="2">
        <v>178.41</v>
      </c>
      <c r="H566" s="2">
        <v>1427.28</v>
      </c>
      <c r="I566" s="2" t="s">
        <v>17</v>
      </c>
      <c r="J566" s="2" t="str">
        <f t="shared" si="16"/>
        <v>Aug</v>
      </c>
      <c r="K566" s="4">
        <f>IF(AND(ISNUMBER(Lab2_Dataset[[#This Row],[Revenue]]), ISNUMBER(Lab2_Dataset[[#This Row],[Quantity]]), Lab2_Dataset[[#This Row],[Quantity]]&lt;&gt;0), Lab2_Dataset[[#This Row],[Revenue]]/Lab2_Dataset[[#This Row],[Quantity]], "")</f>
        <v>178.41</v>
      </c>
      <c r="O566" s="2" t="b">
        <v>0</v>
      </c>
      <c r="P566" s="2" t="str">
        <f t="shared" si="17"/>
        <v/>
      </c>
    </row>
    <row r="567" spans="1:16" x14ac:dyDescent="0.35">
      <c r="A567" s="2" t="s">
        <v>1153</v>
      </c>
      <c r="B567" s="2" t="s">
        <v>1154</v>
      </c>
      <c r="C567" s="3">
        <v>45676</v>
      </c>
      <c r="D567" s="2" t="s">
        <v>11</v>
      </c>
      <c r="E567" s="2" t="s">
        <v>28</v>
      </c>
      <c r="G567" s="2">
        <v>91.31</v>
      </c>
      <c r="I567" s="2" t="s">
        <v>13</v>
      </c>
      <c r="J567" s="2" t="str">
        <f t="shared" si="16"/>
        <v>Jan</v>
      </c>
      <c r="K56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67" s="2" t="b">
        <v>1</v>
      </c>
      <c r="P567" s="2">
        <f t="shared" si="17"/>
        <v>498.25</v>
      </c>
    </row>
    <row r="568" spans="1:16" x14ac:dyDescent="0.35">
      <c r="A568" s="2" t="s">
        <v>1155</v>
      </c>
      <c r="B568" s="2" t="s">
        <v>1156</v>
      </c>
      <c r="C568" s="3">
        <v>45703</v>
      </c>
      <c r="D568" s="2" t="s">
        <v>69</v>
      </c>
      <c r="E568" s="2" t="s">
        <v>16</v>
      </c>
      <c r="F568" s="2">
        <v>5</v>
      </c>
      <c r="G568" s="2">
        <v>99.65</v>
      </c>
      <c r="H568" s="2">
        <v>498.25</v>
      </c>
      <c r="I568" s="2" t="s">
        <v>17</v>
      </c>
      <c r="J568" s="2" t="str">
        <f t="shared" si="16"/>
        <v>Feb</v>
      </c>
      <c r="K568" s="4">
        <f>IF(AND(ISNUMBER(Lab2_Dataset[[#This Row],[Revenue]]), ISNUMBER(Lab2_Dataset[[#This Row],[Quantity]]), Lab2_Dataset[[#This Row],[Quantity]]&lt;&gt;0), Lab2_Dataset[[#This Row],[Revenue]]/Lab2_Dataset[[#This Row],[Quantity]], "")</f>
        <v>99.65</v>
      </c>
      <c r="O568" s="2" t="b">
        <v>0</v>
      </c>
      <c r="P568" s="2" t="str">
        <f t="shared" si="17"/>
        <v/>
      </c>
    </row>
    <row r="569" spans="1:16" x14ac:dyDescent="0.35">
      <c r="A569" s="2" t="s">
        <v>1157</v>
      </c>
      <c r="B569" s="2" t="s">
        <v>1158</v>
      </c>
      <c r="C569" s="3">
        <v>45528</v>
      </c>
      <c r="D569" s="2" t="s">
        <v>11</v>
      </c>
      <c r="E569" s="2" t="s">
        <v>16</v>
      </c>
      <c r="G569" s="2">
        <v>10.97</v>
      </c>
      <c r="I569" s="2" t="s">
        <v>13</v>
      </c>
      <c r="J569" s="2" t="str">
        <f t="shared" si="16"/>
        <v>Aug</v>
      </c>
      <c r="K5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69" s="2" t="b">
        <v>1</v>
      </c>
      <c r="P569" s="2" t="str">
        <f t="shared" si="17"/>
        <v/>
      </c>
    </row>
    <row r="570" spans="1:16" x14ac:dyDescent="0.35">
      <c r="A570" s="2" t="s">
        <v>1159</v>
      </c>
      <c r="B570" s="2" t="s">
        <v>1160</v>
      </c>
      <c r="C570" s="3">
        <v>45066</v>
      </c>
      <c r="D570" s="2" t="s">
        <v>34</v>
      </c>
      <c r="E570" s="2" t="s">
        <v>47</v>
      </c>
      <c r="G570" s="2">
        <v>76.37</v>
      </c>
      <c r="I570" s="2" t="s">
        <v>21</v>
      </c>
      <c r="J570" s="2" t="str">
        <f t="shared" si="16"/>
        <v>May</v>
      </c>
      <c r="K57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0" s="2" t="b">
        <v>1</v>
      </c>
      <c r="P570" s="2" t="str">
        <f t="shared" si="17"/>
        <v/>
      </c>
    </row>
    <row r="571" spans="1:16" x14ac:dyDescent="0.35">
      <c r="A571" s="2" t="s">
        <v>1161</v>
      </c>
      <c r="B571" s="2" t="s">
        <v>1162</v>
      </c>
      <c r="C571" s="3">
        <v>45623</v>
      </c>
      <c r="D571" s="2" t="s">
        <v>37</v>
      </c>
      <c r="E571" s="2" t="s">
        <v>28</v>
      </c>
      <c r="G571" s="2">
        <v>29.2</v>
      </c>
      <c r="I571" s="2" t="s">
        <v>52</v>
      </c>
      <c r="J571" s="2" t="str">
        <f t="shared" si="16"/>
        <v>Nov</v>
      </c>
      <c r="K57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1" s="2" t="b">
        <v>1</v>
      </c>
      <c r="P571" s="2" t="str">
        <f t="shared" si="17"/>
        <v/>
      </c>
    </row>
    <row r="572" spans="1:16" x14ac:dyDescent="0.35">
      <c r="A572" s="2" t="s">
        <v>1163</v>
      </c>
      <c r="B572" s="2" t="s">
        <v>1164</v>
      </c>
      <c r="C572" s="3">
        <v>45134</v>
      </c>
      <c r="D572" s="2" t="s">
        <v>27</v>
      </c>
      <c r="E572" s="2" t="s">
        <v>16</v>
      </c>
      <c r="G572" s="2">
        <v>70.819999999999993</v>
      </c>
      <c r="I572" s="2" t="s">
        <v>13</v>
      </c>
      <c r="J572" s="2" t="str">
        <f t="shared" si="16"/>
        <v>Jul</v>
      </c>
      <c r="K5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2" s="2" t="b">
        <v>1</v>
      </c>
      <c r="P572" s="2" t="str">
        <f t="shared" si="17"/>
        <v/>
      </c>
    </row>
    <row r="573" spans="1:16" x14ac:dyDescent="0.35">
      <c r="A573" s="2" t="s">
        <v>1165</v>
      </c>
      <c r="B573" s="2" t="s">
        <v>1166</v>
      </c>
      <c r="C573" s="3">
        <v>45271</v>
      </c>
      <c r="D573" s="2" t="s">
        <v>27</v>
      </c>
      <c r="E573" s="2" t="s">
        <v>47</v>
      </c>
      <c r="G573" s="2">
        <v>120.39</v>
      </c>
      <c r="I573" s="2" t="s">
        <v>52</v>
      </c>
      <c r="J573" s="2" t="str">
        <f t="shared" si="16"/>
        <v>Dec</v>
      </c>
      <c r="K5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3" s="2" t="b">
        <v>1</v>
      </c>
      <c r="P573" s="2" t="str">
        <f t="shared" si="17"/>
        <v/>
      </c>
    </row>
    <row r="574" spans="1:16" x14ac:dyDescent="0.35">
      <c r="A574" s="2" t="s">
        <v>1167</v>
      </c>
      <c r="B574" s="2" t="s">
        <v>1168</v>
      </c>
      <c r="C574" s="3">
        <v>45610</v>
      </c>
      <c r="D574" s="2" t="s">
        <v>69</v>
      </c>
      <c r="E574" s="2" t="s">
        <v>16</v>
      </c>
      <c r="G574" s="2">
        <v>30.52</v>
      </c>
      <c r="I574" s="2" t="s">
        <v>38</v>
      </c>
      <c r="J574" s="2" t="str">
        <f t="shared" si="16"/>
        <v>Nov</v>
      </c>
      <c r="K57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4" s="2" t="b">
        <v>1</v>
      </c>
      <c r="P574" s="2" t="str">
        <f t="shared" si="17"/>
        <v/>
      </c>
    </row>
    <row r="575" spans="1:16" x14ac:dyDescent="0.35">
      <c r="A575" s="2" t="s">
        <v>1169</v>
      </c>
      <c r="B575" s="2" t="s">
        <v>1170</v>
      </c>
      <c r="C575" s="3">
        <v>45584</v>
      </c>
      <c r="D575" s="2" t="s">
        <v>34</v>
      </c>
      <c r="E575" s="2" t="s">
        <v>12</v>
      </c>
      <c r="G575" s="2">
        <v>145.63999999999999</v>
      </c>
      <c r="I575" s="2" t="s">
        <v>17</v>
      </c>
      <c r="J575" s="2" t="str">
        <f t="shared" si="16"/>
        <v>Oct</v>
      </c>
      <c r="K57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5" s="2" t="b">
        <v>1</v>
      </c>
      <c r="P575" s="2" t="str">
        <f t="shared" si="17"/>
        <v/>
      </c>
    </row>
    <row r="576" spans="1:16" x14ac:dyDescent="0.35">
      <c r="A576" s="2" t="s">
        <v>1171</v>
      </c>
      <c r="B576" s="2" t="s">
        <v>1172</v>
      </c>
      <c r="C576" s="3">
        <v>45311</v>
      </c>
      <c r="D576" s="2" t="s">
        <v>20</v>
      </c>
      <c r="E576" s="2" t="s">
        <v>47</v>
      </c>
      <c r="G576" s="2">
        <v>90.34</v>
      </c>
      <c r="I576" s="2" t="s">
        <v>13</v>
      </c>
      <c r="J576" s="2" t="str">
        <f t="shared" si="16"/>
        <v>Jan</v>
      </c>
      <c r="K57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6" s="2" t="b">
        <v>1</v>
      </c>
      <c r="P576" s="2">
        <f t="shared" si="17"/>
        <v>762.57</v>
      </c>
    </row>
    <row r="577" spans="1:16" x14ac:dyDescent="0.35">
      <c r="A577" s="2" t="s">
        <v>1173</v>
      </c>
      <c r="B577" s="2" t="s">
        <v>1174</v>
      </c>
      <c r="C577" s="3">
        <v>45637</v>
      </c>
      <c r="D577" s="2" t="s">
        <v>20</v>
      </c>
      <c r="E577" s="2" t="s">
        <v>28</v>
      </c>
      <c r="F577" s="2">
        <v>9</v>
      </c>
      <c r="G577" s="2">
        <v>84.73</v>
      </c>
      <c r="H577" s="2">
        <v>762.57</v>
      </c>
      <c r="I577" s="2" t="s">
        <v>52</v>
      </c>
      <c r="J577" s="2" t="str">
        <f t="shared" si="16"/>
        <v>Dec</v>
      </c>
      <c r="K577" s="4">
        <f>IF(AND(ISNUMBER(Lab2_Dataset[[#This Row],[Revenue]]), ISNUMBER(Lab2_Dataset[[#This Row],[Quantity]]), Lab2_Dataset[[#This Row],[Quantity]]&lt;&gt;0), Lab2_Dataset[[#This Row],[Revenue]]/Lab2_Dataset[[#This Row],[Quantity]], "")</f>
        <v>84.73</v>
      </c>
      <c r="O577" s="2" t="b">
        <v>0</v>
      </c>
      <c r="P577" s="2">
        <f t="shared" si="17"/>
        <v>649.38</v>
      </c>
    </row>
    <row r="578" spans="1:16" x14ac:dyDescent="0.35">
      <c r="A578" s="2" t="s">
        <v>1175</v>
      </c>
      <c r="B578" s="2" t="s">
        <v>1176</v>
      </c>
      <c r="C578" s="3">
        <v>45515</v>
      </c>
      <c r="D578" s="2" t="s">
        <v>34</v>
      </c>
      <c r="E578" s="2" t="s">
        <v>24</v>
      </c>
      <c r="F578" s="2">
        <v>6</v>
      </c>
      <c r="G578" s="2">
        <v>108.23</v>
      </c>
      <c r="H578" s="2">
        <v>649.38</v>
      </c>
      <c r="I578" s="2" t="s">
        <v>31</v>
      </c>
      <c r="J578" s="2" t="str">
        <f t="shared" ref="J578:J641" si="18">TEXT(C578,"mmm")</f>
        <v>Aug</v>
      </c>
      <c r="K578" s="4">
        <f>IF(AND(ISNUMBER(Lab2_Dataset[[#This Row],[Revenue]]), ISNUMBER(Lab2_Dataset[[#This Row],[Quantity]]), Lab2_Dataset[[#This Row],[Quantity]]&lt;&gt;0), Lab2_Dataset[[#This Row],[Revenue]]/Lab2_Dataset[[#This Row],[Quantity]], "")</f>
        <v>108.23</v>
      </c>
      <c r="O578" s="2" t="b">
        <v>0</v>
      </c>
      <c r="P578" s="2" t="str">
        <f t="shared" si="17"/>
        <v/>
      </c>
    </row>
    <row r="579" spans="1:16" x14ac:dyDescent="0.35">
      <c r="A579" s="2" t="s">
        <v>1177</v>
      </c>
      <c r="B579" s="2" t="s">
        <v>1178</v>
      </c>
      <c r="C579" s="3">
        <v>45770</v>
      </c>
      <c r="D579" s="2" t="s">
        <v>69</v>
      </c>
      <c r="E579" s="2" t="s">
        <v>24</v>
      </c>
      <c r="G579" s="2">
        <v>39.08</v>
      </c>
      <c r="I579" s="2" t="s">
        <v>21</v>
      </c>
      <c r="J579" s="2" t="str">
        <f t="shared" si="18"/>
        <v>Apr</v>
      </c>
      <c r="K57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79" s="2" t="b">
        <v>1</v>
      </c>
      <c r="P579" s="2" t="str">
        <f t="shared" ref="P579:P642" si="19">IF(O580=TRUE,"",F580*G580)</f>
        <v/>
      </c>
    </row>
    <row r="580" spans="1:16" x14ac:dyDescent="0.35">
      <c r="A580" s="2" t="s">
        <v>1179</v>
      </c>
      <c r="B580" s="2" t="s">
        <v>1180</v>
      </c>
      <c r="C580" s="3">
        <v>45370</v>
      </c>
      <c r="D580" s="2" t="s">
        <v>11</v>
      </c>
      <c r="E580" s="2" t="s">
        <v>24</v>
      </c>
      <c r="G580" s="2">
        <v>199.35</v>
      </c>
      <c r="I580" s="2" t="s">
        <v>31</v>
      </c>
      <c r="J580" s="2" t="str">
        <f t="shared" si="18"/>
        <v>Mar</v>
      </c>
      <c r="K58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80" s="2" t="b">
        <v>1</v>
      </c>
      <c r="P580" s="2">
        <f t="shared" si="19"/>
        <v>343.1</v>
      </c>
    </row>
    <row r="581" spans="1:16" x14ac:dyDescent="0.35">
      <c r="A581" s="2" t="s">
        <v>1181</v>
      </c>
      <c r="B581" s="2" t="s">
        <v>1182</v>
      </c>
      <c r="C581" s="3">
        <v>45407</v>
      </c>
      <c r="D581" s="2" t="s">
        <v>27</v>
      </c>
      <c r="E581" s="2" t="s">
        <v>16</v>
      </c>
      <c r="F581" s="2">
        <v>2</v>
      </c>
      <c r="G581" s="2">
        <v>171.55</v>
      </c>
      <c r="H581" s="2">
        <v>343.1</v>
      </c>
      <c r="I581" s="2" t="s">
        <v>52</v>
      </c>
      <c r="J581" s="2" t="str">
        <f t="shared" si="18"/>
        <v>Apr</v>
      </c>
      <c r="K581" s="4">
        <f>IF(AND(ISNUMBER(Lab2_Dataset[[#This Row],[Revenue]]), ISNUMBER(Lab2_Dataset[[#This Row],[Quantity]]), Lab2_Dataset[[#This Row],[Quantity]]&lt;&gt;0), Lab2_Dataset[[#This Row],[Revenue]]/Lab2_Dataset[[#This Row],[Quantity]], "")</f>
        <v>171.55</v>
      </c>
      <c r="O581" s="2" t="b">
        <v>0</v>
      </c>
      <c r="P581" s="2">
        <f t="shared" si="19"/>
        <v>179.1</v>
      </c>
    </row>
    <row r="582" spans="1:16" x14ac:dyDescent="0.35">
      <c r="A582" s="2" t="s">
        <v>1183</v>
      </c>
      <c r="B582" s="2" t="s">
        <v>1184</v>
      </c>
      <c r="C582" s="3">
        <v>45199</v>
      </c>
      <c r="D582" s="2" t="s">
        <v>11</v>
      </c>
      <c r="E582" s="2" t="s">
        <v>24</v>
      </c>
      <c r="F582" s="2">
        <v>9</v>
      </c>
      <c r="G582" s="2">
        <v>19.899999999999999</v>
      </c>
      <c r="H582" s="2">
        <v>179.1</v>
      </c>
      <c r="I582" s="2" t="s">
        <v>17</v>
      </c>
      <c r="J582" s="2" t="str">
        <f t="shared" si="18"/>
        <v>Sep</v>
      </c>
      <c r="K582" s="4">
        <f>IF(AND(ISNUMBER(Lab2_Dataset[[#This Row],[Revenue]]), ISNUMBER(Lab2_Dataset[[#This Row],[Quantity]]), Lab2_Dataset[[#This Row],[Quantity]]&lt;&gt;0), Lab2_Dataset[[#This Row],[Revenue]]/Lab2_Dataset[[#This Row],[Quantity]], "")</f>
        <v>19.899999999999999</v>
      </c>
      <c r="O582" s="2" t="b">
        <v>0</v>
      </c>
      <c r="P582" s="2" t="str">
        <f t="shared" si="19"/>
        <v/>
      </c>
    </row>
    <row r="583" spans="1:16" x14ac:dyDescent="0.35">
      <c r="A583" s="2" t="s">
        <v>1185</v>
      </c>
      <c r="B583" s="2" t="s">
        <v>1186</v>
      </c>
      <c r="C583" s="3">
        <v>45721</v>
      </c>
      <c r="D583" s="2" t="s">
        <v>37</v>
      </c>
      <c r="E583" s="2" t="s">
        <v>12</v>
      </c>
      <c r="G583" s="2">
        <v>75.33</v>
      </c>
      <c r="I583" s="2" t="s">
        <v>17</v>
      </c>
      <c r="J583" s="2" t="str">
        <f t="shared" si="18"/>
        <v>Mar</v>
      </c>
      <c r="K58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83" s="2" t="b">
        <v>1</v>
      </c>
      <c r="P583" s="2">
        <f t="shared" si="19"/>
        <v>164.85</v>
      </c>
    </row>
    <row r="584" spans="1:16" x14ac:dyDescent="0.35">
      <c r="A584" s="2" t="s">
        <v>1187</v>
      </c>
      <c r="B584" s="2" t="s">
        <v>1188</v>
      </c>
      <c r="C584" s="3">
        <v>45665</v>
      </c>
      <c r="D584" s="2" t="s">
        <v>11</v>
      </c>
      <c r="E584" s="2" t="s">
        <v>12</v>
      </c>
      <c r="F584" s="2">
        <v>1</v>
      </c>
      <c r="G584" s="2">
        <v>164.85</v>
      </c>
      <c r="H584" s="2">
        <v>164.85</v>
      </c>
      <c r="I584" s="2" t="s">
        <v>38</v>
      </c>
      <c r="J584" s="2" t="str">
        <f t="shared" si="18"/>
        <v>Jan</v>
      </c>
      <c r="K584" s="4">
        <f>IF(AND(ISNUMBER(Lab2_Dataset[[#This Row],[Revenue]]), ISNUMBER(Lab2_Dataset[[#This Row],[Quantity]]), Lab2_Dataset[[#This Row],[Quantity]]&lt;&gt;0), Lab2_Dataset[[#This Row],[Revenue]]/Lab2_Dataset[[#This Row],[Quantity]], "")</f>
        <v>164.85</v>
      </c>
      <c r="O584" s="2" t="b">
        <v>0</v>
      </c>
      <c r="P584" s="2" t="str">
        <f t="shared" si="19"/>
        <v/>
      </c>
    </row>
    <row r="585" spans="1:16" x14ac:dyDescent="0.35">
      <c r="A585" s="2" t="s">
        <v>1189</v>
      </c>
      <c r="B585" s="2" t="s">
        <v>1190</v>
      </c>
      <c r="C585" s="3">
        <v>45500</v>
      </c>
      <c r="D585" s="2" t="s">
        <v>11</v>
      </c>
      <c r="E585" s="2" t="s">
        <v>12</v>
      </c>
      <c r="G585" s="2">
        <v>198.77</v>
      </c>
      <c r="I585" s="2" t="s">
        <v>21</v>
      </c>
      <c r="J585" s="2" t="str">
        <f t="shared" si="18"/>
        <v>Jul</v>
      </c>
      <c r="K58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85" s="2" t="b">
        <v>1</v>
      </c>
      <c r="P585" s="2">
        <f t="shared" si="19"/>
        <v>701.46999999999991</v>
      </c>
    </row>
    <row r="586" spans="1:16" x14ac:dyDescent="0.35">
      <c r="A586" s="2" t="s">
        <v>1191</v>
      </c>
      <c r="B586" s="2" t="s">
        <v>1192</v>
      </c>
      <c r="C586" s="3">
        <v>45451</v>
      </c>
      <c r="D586" s="2" t="s">
        <v>69</v>
      </c>
      <c r="E586" s="2" t="s">
        <v>24</v>
      </c>
      <c r="F586" s="2">
        <v>7</v>
      </c>
      <c r="G586" s="2">
        <v>100.21</v>
      </c>
      <c r="H586" s="2">
        <v>701.47</v>
      </c>
      <c r="I586" s="2" t="s">
        <v>13</v>
      </c>
      <c r="J586" s="2" t="str">
        <f t="shared" si="18"/>
        <v>Jun</v>
      </c>
      <c r="K586" s="4">
        <f>IF(AND(ISNUMBER(Lab2_Dataset[[#This Row],[Revenue]]), ISNUMBER(Lab2_Dataset[[#This Row],[Quantity]]), Lab2_Dataset[[#This Row],[Quantity]]&lt;&gt;0), Lab2_Dataset[[#This Row],[Revenue]]/Lab2_Dataset[[#This Row],[Quantity]], "")</f>
        <v>100.21000000000001</v>
      </c>
      <c r="O586" s="2" t="b">
        <v>0</v>
      </c>
      <c r="P586" s="2">
        <f t="shared" si="19"/>
        <v>329.76</v>
      </c>
    </row>
    <row r="587" spans="1:16" x14ac:dyDescent="0.35">
      <c r="A587" s="2" t="s">
        <v>1193</v>
      </c>
      <c r="B587" s="2" t="s">
        <v>1194</v>
      </c>
      <c r="C587" s="3">
        <v>45707</v>
      </c>
      <c r="D587" s="2" t="s">
        <v>34</v>
      </c>
      <c r="E587" s="2" t="s">
        <v>12</v>
      </c>
      <c r="F587" s="2">
        <v>6</v>
      </c>
      <c r="G587" s="2">
        <v>54.96</v>
      </c>
      <c r="H587" s="2">
        <v>329.76</v>
      </c>
      <c r="I587" s="2" t="s">
        <v>21</v>
      </c>
      <c r="J587" s="2" t="str">
        <f t="shared" si="18"/>
        <v>Feb</v>
      </c>
      <c r="K587" s="4">
        <f>IF(AND(ISNUMBER(Lab2_Dataset[[#This Row],[Revenue]]), ISNUMBER(Lab2_Dataset[[#This Row],[Quantity]]), Lab2_Dataset[[#This Row],[Quantity]]&lt;&gt;0), Lab2_Dataset[[#This Row],[Revenue]]/Lab2_Dataset[[#This Row],[Quantity]], "")</f>
        <v>54.96</v>
      </c>
      <c r="O587" s="2" t="b">
        <v>0</v>
      </c>
      <c r="P587" s="2">
        <f t="shared" si="19"/>
        <v>194.22</v>
      </c>
    </row>
    <row r="588" spans="1:16" x14ac:dyDescent="0.35">
      <c r="A588" s="2" t="s">
        <v>1195</v>
      </c>
      <c r="B588" s="2" t="s">
        <v>1196</v>
      </c>
      <c r="C588" s="3">
        <v>45290</v>
      </c>
      <c r="D588" s="2" t="s">
        <v>11</v>
      </c>
      <c r="E588" s="2" t="s">
        <v>28</v>
      </c>
      <c r="F588" s="2">
        <v>1</v>
      </c>
      <c r="G588" s="2">
        <v>194.22</v>
      </c>
      <c r="H588" s="2">
        <v>194.22</v>
      </c>
      <c r="I588" s="2" t="s">
        <v>31</v>
      </c>
      <c r="J588" s="2" t="str">
        <f t="shared" si="18"/>
        <v>Dec</v>
      </c>
      <c r="K588" s="4">
        <f>IF(AND(ISNUMBER(Lab2_Dataset[[#This Row],[Revenue]]), ISNUMBER(Lab2_Dataset[[#This Row],[Quantity]]), Lab2_Dataset[[#This Row],[Quantity]]&lt;&gt;0), Lab2_Dataset[[#This Row],[Revenue]]/Lab2_Dataset[[#This Row],[Quantity]], "")</f>
        <v>194.22</v>
      </c>
      <c r="O588" s="2" t="b">
        <v>0</v>
      </c>
      <c r="P588" s="2" t="str">
        <f t="shared" si="19"/>
        <v/>
      </c>
    </row>
    <row r="589" spans="1:16" x14ac:dyDescent="0.35">
      <c r="A589" s="2" t="s">
        <v>1197</v>
      </c>
      <c r="B589" s="2" t="s">
        <v>1198</v>
      </c>
      <c r="C589" s="3">
        <v>45070</v>
      </c>
      <c r="D589" s="2" t="s">
        <v>20</v>
      </c>
      <c r="E589" s="2" t="s">
        <v>12</v>
      </c>
      <c r="G589" s="2">
        <v>50.72</v>
      </c>
      <c r="I589" s="2" t="s">
        <v>38</v>
      </c>
      <c r="J589" s="2" t="str">
        <f t="shared" si="18"/>
        <v>May</v>
      </c>
      <c r="K5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89" s="2" t="b">
        <v>1</v>
      </c>
      <c r="P589" s="2">
        <f t="shared" si="19"/>
        <v>856.05000000000007</v>
      </c>
    </row>
    <row r="590" spans="1:16" x14ac:dyDescent="0.35">
      <c r="A590" s="2" t="s">
        <v>1199</v>
      </c>
      <c r="B590" s="2" t="s">
        <v>1200</v>
      </c>
      <c r="C590" s="3">
        <v>45452</v>
      </c>
      <c r="D590" s="2" t="s">
        <v>34</v>
      </c>
      <c r="E590" s="2" t="s">
        <v>16</v>
      </c>
      <c r="F590" s="2">
        <v>5</v>
      </c>
      <c r="G590" s="2">
        <v>171.21</v>
      </c>
      <c r="H590" s="2">
        <v>856.05</v>
      </c>
      <c r="I590" s="2" t="s">
        <v>21</v>
      </c>
      <c r="J590" s="2" t="str">
        <f t="shared" si="18"/>
        <v>Jun</v>
      </c>
      <c r="K590" s="4">
        <f>IF(AND(ISNUMBER(Lab2_Dataset[[#This Row],[Revenue]]), ISNUMBER(Lab2_Dataset[[#This Row],[Quantity]]), Lab2_Dataset[[#This Row],[Quantity]]&lt;&gt;0), Lab2_Dataset[[#This Row],[Revenue]]/Lab2_Dataset[[#This Row],[Quantity]], "")</f>
        <v>171.20999999999998</v>
      </c>
      <c r="O590" s="2" t="b">
        <v>0</v>
      </c>
      <c r="P590" s="2" t="str">
        <f t="shared" si="19"/>
        <v/>
      </c>
    </row>
    <row r="591" spans="1:16" x14ac:dyDescent="0.35">
      <c r="A591" s="2" t="s">
        <v>1201</v>
      </c>
      <c r="B591" s="2" t="s">
        <v>1202</v>
      </c>
      <c r="C591" s="3">
        <v>45457</v>
      </c>
      <c r="D591" s="2" t="s">
        <v>27</v>
      </c>
      <c r="E591" s="2" t="s">
        <v>12</v>
      </c>
      <c r="G591" s="2">
        <v>60.48</v>
      </c>
      <c r="I591" s="2" t="s">
        <v>21</v>
      </c>
      <c r="J591" s="2" t="str">
        <f t="shared" si="18"/>
        <v>Jun</v>
      </c>
      <c r="K59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1" s="2" t="b">
        <v>1</v>
      </c>
      <c r="P591" s="2" t="str">
        <f t="shared" si="19"/>
        <v/>
      </c>
    </row>
    <row r="592" spans="1:16" x14ac:dyDescent="0.35">
      <c r="A592" s="2" t="s">
        <v>1203</v>
      </c>
      <c r="B592" s="2" t="s">
        <v>1204</v>
      </c>
      <c r="C592" s="3">
        <v>45106</v>
      </c>
      <c r="D592" s="2" t="s">
        <v>37</v>
      </c>
      <c r="E592" s="2" t="s">
        <v>16</v>
      </c>
      <c r="G592" s="2">
        <v>88.51</v>
      </c>
      <c r="I592" s="2" t="s">
        <v>21</v>
      </c>
      <c r="J592" s="2" t="str">
        <f t="shared" si="18"/>
        <v>Jun</v>
      </c>
      <c r="K5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2" s="2" t="b">
        <v>1</v>
      </c>
      <c r="P592" s="2">
        <f t="shared" si="19"/>
        <v>448.40000000000003</v>
      </c>
    </row>
    <row r="593" spans="1:16" x14ac:dyDescent="0.35">
      <c r="A593" s="2" t="s">
        <v>1205</v>
      </c>
      <c r="B593" s="2" t="s">
        <v>1206</v>
      </c>
      <c r="C593" s="3">
        <v>45171</v>
      </c>
      <c r="D593" s="2" t="s">
        <v>69</v>
      </c>
      <c r="E593" s="2" t="s">
        <v>47</v>
      </c>
      <c r="F593" s="2">
        <v>5</v>
      </c>
      <c r="G593" s="2">
        <v>89.68</v>
      </c>
      <c r="H593" s="2">
        <v>448.4</v>
      </c>
      <c r="I593" s="2" t="s">
        <v>17</v>
      </c>
      <c r="J593" s="2" t="str">
        <f t="shared" si="18"/>
        <v>Sep</v>
      </c>
      <c r="K593" s="4">
        <f>IF(AND(ISNUMBER(Lab2_Dataset[[#This Row],[Revenue]]), ISNUMBER(Lab2_Dataset[[#This Row],[Quantity]]), Lab2_Dataset[[#This Row],[Quantity]]&lt;&gt;0), Lab2_Dataset[[#This Row],[Revenue]]/Lab2_Dataset[[#This Row],[Quantity]], "")</f>
        <v>89.679999999999993</v>
      </c>
      <c r="O593" s="2" t="b">
        <v>0</v>
      </c>
      <c r="P593" s="2" t="str">
        <f t="shared" si="19"/>
        <v/>
      </c>
    </row>
    <row r="594" spans="1:16" x14ac:dyDescent="0.35">
      <c r="A594" s="2" t="s">
        <v>1207</v>
      </c>
      <c r="B594" s="2" t="s">
        <v>1208</v>
      </c>
      <c r="C594" s="3">
        <v>45689</v>
      </c>
      <c r="D594" s="2" t="s">
        <v>20</v>
      </c>
      <c r="E594" s="2" t="s">
        <v>24</v>
      </c>
      <c r="G594" s="2">
        <v>189</v>
      </c>
      <c r="I594" s="2" t="s">
        <v>13</v>
      </c>
      <c r="J594" s="2" t="str">
        <f t="shared" si="18"/>
        <v>Feb</v>
      </c>
      <c r="K5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4" s="2" t="b">
        <v>1</v>
      </c>
      <c r="P594" s="2" t="str">
        <f t="shared" si="19"/>
        <v/>
      </c>
    </row>
    <row r="595" spans="1:16" x14ac:dyDescent="0.35">
      <c r="A595" s="2" t="s">
        <v>1209</v>
      </c>
      <c r="B595" s="2" t="s">
        <v>392</v>
      </c>
      <c r="C595" s="3">
        <v>45432</v>
      </c>
      <c r="D595" s="2" t="s">
        <v>20</v>
      </c>
      <c r="E595" s="2" t="s">
        <v>16</v>
      </c>
      <c r="G595" s="2">
        <v>71.22</v>
      </c>
      <c r="I595" s="2" t="s">
        <v>17</v>
      </c>
      <c r="J595" s="2" t="str">
        <f t="shared" si="18"/>
        <v>May</v>
      </c>
      <c r="K5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5" s="2" t="b">
        <v>1</v>
      </c>
      <c r="P595" s="2" t="str">
        <f t="shared" si="19"/>
        <v/>
      </c>
    </row>
    <row r="596" spans="1:16" x14ac:dyDescent="0.35">
      <c r="A596" s="2" t="s">
        <v>1210</v>
      </c>
      <c r="B596" s="2" t="s">
        <v>1211</v>
      </c>
      <c r="C596" s="3">
        <v>45054</v>
      </c>
      <c r="D596" s="2" t="s">
        <v>27</v>
      </c>
      <c r="E596" s="2" t="s">
        <v>47</v>
      </c>
      <c r="G596" s="2">
        <v>148.49</v>
      </c>
      <c r="I596" s="2" t="s">
        <v>13</v>
      </c>
      <c r="J596" s="2" t="str">
        <f t="shared" si="18"/>
        <v>May</v>
      </c>
      <c r="K5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6" s="2" t="b">
        <v>1</v>
      </c>
      <c r="P596" s="2" t="str">
        <f t="shared" si="19"/>
        <v/>
      </c>
    </row>
    <row r="597" spans="1:16" x14ac:dyDescent="0.35">
      <c r="A597" s="2" t="s">
        <v>1212</v>
      </c>
      <c r="B597" s="2" t="s">
        <v>1213</v>
      </c>
      <c r="C597" s="3">
        <v>45300</v>
      </c>
      <c r="D597" s="2" t="s">
        <v>20</v>
      </c>
      <c r="E597" s="2" t="s">
        <v>47</v>
      </c>
      <c r="G597" s="2">
        <v>97.4</v>
      </c>
      <c r="I597" s="2" t="s">
        <v>38</v>
      </c>
      <c r="J597" s="2" t="str">
        <f t="shared" si="18"/>
        <v>Jan</v>
      </c>
      <c r="K5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7" s="2" t="b">
        <v>1</v>
      </c>
      <c r="P597" s="2" t="str">
        <f t="shared" si="19"/>
        <v/>
      </c>
    </row>
    <row r="598" spans="1:16" x14ac:dyDescent="0.35">
      <c r="A598" s="2" t="s">
        <v>1214</v>
      </c>
      <c r="B598" s="2" t="s">
        <v>1215</v>
      </c>
      <c r="C598" s="3">
        <v>45777</v>
      </c>
      <c r="D598" s="2" t="s">
        <v>27</v>
      </c>
      <c r="E598" s="2" t="s">
        <v>28</v>
      </c>
      <c r="G598" s="2">
        <v>42.46</v>
      </c>
      <c r="I598" s="2" t="s">
        <v>31</v>
      </c>
      <c r="J598" s="2" t="str">
        <f t="shared" si="18"/>
        <v>Apr</v>
      </c>
      <c r="K59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598" s="2" t="b">
        <v>1</v>
      </c>
      <c r="P598" s="2">
        <f t="shared" si="19"/>
        <v>122.29</v>
      </c>
    </row>
    <row r="599" spans="1:16" x14ac:dyDescent="0.35">
      <c r="A599" s="2" t="s">
        <v>1216</v>
      </c>
      <c r="B599" s="2" t="s">
        <v>1217</v>
      </c>
      <c r="C599" s="3">
        <v>45599</v>
      </c>
      <c r="D599" s="2" t="s">
        <v>27</v>
      </c>
      <c r="E599" s="2" t="s">
        <v>16</v>
      </c>
      <c r="F599" s="2">
        <v>1</v>
      </c>
      <c r="G599" s="2">
        <v>122.29</v>
      </c>
      <c r="H599" s="2">
        <v>122.29</v>
      </c>
      <c r="I599" s="2" t="s">
        <v>13</v>
      </c>
      <c r="J599" s="2" t="str">
        <f t="shared" si="18"/>
        <v>Nov</v>
      </c>
      <c r="K599" s="4">
        <f>IF(AND(ISNUMBER(Lab2_Dataset[[#This Row],[Revenue]]), ISNUMBER(Lab2_Dataset[[#This Row],[Quantity]]), Lab2_Dataset[[#This Row],[Quantity]]&lt;&gt;0), Lab2_Dataset[[#This Row],[Revenue]]/Lab2_Dataset[[#This Row],[Quantity]], "")</f>
        <v>122.29</v>
      </c>
      <c r="O599" s="2" t="b">
        <v>0</v>
      </c>
      <c r="P599" s="2">
        <f t="shared" si="19"/>
        <v>921.59999999999991</v>
      </c>
    </row>
    <row r="600" spans="1:16" x14ac:dyDescent="0.35">
      <c r="A600" s="2" t="s">
        <v>1218</v>
      </c>
      <c r="B600" s="2" t="s">
        <v>1219</v>
      </c>
      <c r="C600" s="3">
        <v>45102</v>
      </c>
      <c r="D600" s="2" t="s">
        <v>20</v>
      </c>
      <c r="E600" s="2" t="s">
        <v>12</v>
      </c>
      <c r="F600" s="2">
        <v>5</v>
      </c>
      <c r="G600" s="2">
        <v>184.32</v>
      </c>
      <c r="H600" s="2">
        <v>921.6</v>
      </c>
      <c r="I600" s="2" t="s">
        <v>38</v>
      </c>
      <c r="J600" s="2" t="str">
        <f t="shared" si="18"/>
        <v>Jun</v>
      </c>
      <c r="K600" s="4">
        <f>IF(AND(ISNUMBER(Lab2_Dataset[[#This Row],[Revenue]]), ISNUMBER(Lab2_Dataset[[#This Row],[Quantity]]), Lab2_Dataset[[#This Row],[Quantity]]&lt;&gt;0), Lab2_Dataset[[#This Row],[Revenue]]/Lab2_Dataset[[#This Row],[Quantity]], "")</f>
        <v>184.32</v>
      </c>
      <c r="O600" s="2" t="b">
        <v>0</v>
      </c>
      <c r="P600" s="2">
        <f t="shared" si="19"/>
        <v>1008.18</v>
      </c>
    </row>
    <row r="601" spans="1:16" x14ac:dyDescent="0.35">
      <c r="A601" s="2" t="s">
        <v>1220</v>
      </c>
      <c r="B601" s="2" t="s">
        <v>1221</v>
      </c>
      <c r="C601" s="3">
        <v>45151</v>
      </c>
      <c r="D601" s="2" t="s">
        <v>34</v>
      </c>
      <c r="E601" s="2" t="s">
        <v>12</v>
      </c>
      <c r="F601" s="2">
        <v>9</v>
      </c>
      <c r="G601" s="2">
        <v>112.02</v>
      </c>
      <c r="H601" s="2">
        <v>1008.18</v>
      </c>
      <c r="I601" s="2" t="s">
        <v>21</v>
      </c>
      <c r="J601" s="2" t="str">
        <f t="shared" si="18"/>
        <v>Aug</v>
      </c>
      <c r="K601" s="4">
        <f>IF(AND(ISNUMBER(Lab2_Dataset[[#This Row],[Revenue]]), ISNUMBER(Lab2_Dataset[[#This Row],[Quantity]]), Lab2_Dataset[[#This Row],[Quantity]]&lt;&gt;0), Lab2_Dataset[[#This Row],[Revenue]]/Lab2_Dataset[[#This Row],[Quantity]], "")</f>
        <v>112.02</v>
      </c>
      <c r="O601" s="2" t="b">
        <v>0</v>
      </c>
      <c r="P601" s="2" t="str">
        <f t="shared" si="19"/>
        <v/>
      </c>
    </row>
    <row r="602" spans="1:16" x14ac:dyDescent="0.35">
      <c r="A602" s="2" t="s">
        <v>1222</v>
      </c>
      <c r="B602" s="2" t="s">
        <v>1223</v>
      </c>
      <c r="C602" s="3">
        <v>45558</v>
      </c>
      <c r="D602" s="2" t="s">
        <v>37</v>
      </c>
      <c r="E602" s="2" t="s">
        <v>28</v>
      </c>
      <c r="G602" s="2">
        <v>121.46</v>
      </c>
      <c r="I602" s="2" t="s">
        <v>21</v>
      </c>
      <c r="J602" s="2" t="str">
        <f t="shared" si="18"/>
        <v>Sep</v>
      </c>
      <c r="K60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2" s="2" t="b">
        <v>1</v>
      </c>
      <c r="P602" s="2">
        <f t="shared" si="19"/>
        <v>373.46999999999997</v>
      </c>
    </row>
    <row r="603" spans="1:16" x14ac:dyDescent="0.35">
      <c r="A603" s="2" t="s">
        <v>1224</v>
      </c>
      <c r="B603" s="2" t="s">
        <v>1225</v>
      </c>
      <c r="C603" s="3">
        <v>45498</v>
      </c>
      <c r="D603" s="2" t="s">
        <v>37</v>
      </c>
      <c r="E603" s="2" t="s">
        <v>47</v>
      </c>
      <c r="F603" s="2">
        <v>3</v>
      </c>
      <c r="G603" s="2">
        <v>124.49</v>
      </c>
      <c r="H603" s="2">
        <v>373.47</v>
      </c>
      <c r="I603" s="2" t="s">
        <v>38</v>
      </c>
      <c r="J603" s="2" t="str">
        <f t="shared" si="18"/>
        <v>Jul</v>
      </c>
      <c r="K603" s="4">
        <f>IF(AND(ISNUMBER(Lab2_Dataset[[#This Row],[Revenue]]), ISNUMBER(Lab2_Dataset[[#This Row],[Quantity]]), Lab2_Dataset[[#This Row],[Quantity]]&lt;&gt;0), Lab2_Dataset[[#This Row],[Revenue]]/Lab2_Dataset[[#This Row],[Quantity]], "")</f>
        <v>124.49000000000001</v>
      </c>
      <c r="O603" s="2" t="b">
        <v>0</v>
      </c>
      <c r="P603" s="2">
        <f t="shared" si="19"/>
        <v>392.24</v>
      </c>
    </row>
    <row r="604" spans="1:16" x14ac:dyDescent="0.35">
      <c r="A604" s="2" t="s">
        <v>1226</v>
      </c>
      <c r="B604" s="2" t="s">
        <v>1227</v>
      </c>
      <c r="C604" s="3">
        <v>45291</v>
      </c>
      <c r="D604" s="2" t="s">
        <v>37</v>
      </c>
      <c r="E604" s="2" t="s">
        <v>16</v>
      </c>
      <c r="F604" s="2">
        <v>4</v>
      </c>
      <c r="G604" s="2">
        <v>98.06</v>
      </c>
      <c r="H604" s="2">
        <v>392.24</v>
      </c>
      <c r="I604" s="2" t="s">
        <v>31</v>
      </c>
      <c r="J604" s="2" t="str">
        <f t="shared" si="18"/>
        <v>Dec</v>
      </c>
      <c r="K604" s="4">
        <f>IF(AND(ISNUMBER(Lab2_Dataset[[#This Row],[Revenue]]), ISNUMBER(Lab2_Dataset[[#This Row],[Quantity]]), Lab2_Dataset[[#This Row],[Quantity]]&lt;&gt;0), Lab2_Dataset[[#This Row],[Revenue]]/Lab2_Dataset[[#This Row],[Quantity]], "")</f>
        <v>98.06</v>
      </c>
      <c r="O604" s="2" t="b">
        <v>0</v>
      </c>
      <c r="P604" s="2" t="str">
        <f t="shared" si="19"/>
        <v/>
      </c>
    </row>
    <row r="605" spans="1:16" x14ac:dyDescent="0.35">
      <c r="A605" s="2" t="s">
        <v>1228</v>
      </c>
      <c r="B605" s="2" t="s">
        <v>1229</v>
      </c>
      <c r="C605" s="3">
        <v>45769</v>
      </c>
      <c r="D605" s="2" t="s">
        <v>20</v>
      </c>
      <c r="E605" s="2" t="s">
        <v>28</v>
      </c>
      <c r="G605" s="2">
        <v>106.96</v>
      </c>
      <c r="I605" s="2" t="s">
        <v>13</v>
      </c>
      <c r="J605" s="2" t="str">
        <f t="shared" si="18"/>
        <v>Apr</v>
      </c>
      <c r="K60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5" s="2" t="b">
        <v>1</v>
      </c>
      <c r="P605" s="2" t="str">
        <f t="shared" si="19"/>
        <v/>
      </c>
    </row>
    <row r="606" spans="1:16" x14ac:dyDescent="0.35">
      <c r="A606" s="2" t="s">
        <v>1230</v>
      </c>
      <c r="B606" s="2" t="s">
        <v>1231</v>
      </c>
      <c r="C606" s="3">
        <v>45501</v>
      </c>
      <c r="D606" s="2" t="s">
        <v>27</v>
      </c>
      <c r="E606" s="2" t="s">
        <v>24</v>
      </c>
      <c r="G606" s="2">
        <v>55.32</v>
      </c>
      <c r="I606" s="2" t="s">
        <v>38</v>
      </c>
      <c r="J606" s="2" t="str">
        <f t="shared" si="18"/>
        <v>Jul</v>
      </c>
      <c r="K6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6" s="2" t="b">
        <v>1</v>
      </c>
      <c r="P606" s="2" t="str">
        <f t="shared" si="19"/>
        <v/>
      </c>
    </row>
    <row r="607" spans="1:16" x14ac:dyDescent="0.35">
      <c r="A607" s="2" t="s">
        <v>1232</v>
      </c>
      <c r="B607" s="2" t="s">
        <v>1233</v>
      </c>
      <c r="C607" s="3">
        <v>45734</v>
      </c>
      <c r="D607" s="2" t="s">
        <v>69</v>
      </c>
      <c r="E607" s="2" t="s">
        <v>24</v>
      </c>
      <c r="G607" s="2">
        <v>129.61000000000001</v>
      </c>
      <c r="I607" s="2" t="s">
        <v>21</v>
      </c>
      <c r="J607" s="2" t="str">
        <f t="shared" si="18"/>
        <v>Mar</v>
      </c>
      <c r="K6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7" s="2" t="b">
        <v>1</v>
      </c>
      <c r="P607" s="2" t="str">
        <f t="shared" si="19"/>
        <v/>
      </c>
    </row>
    <row r="608" spans="1:16" x14ac:dyDescent="0.35">
      <c r="A608" s="2" t="s">
        <v>1234</v>
      </c>
      <c r="B608" s="2" t="s">
        <v>1235</v>
      </c>
      <c r="C608" s="3">
        <v>45241</v>
      </c>
      <c r="D608" s="2" t="s">
        <v>37</v>
      </c>
      <c r="E608" s="2" t="s">
        <v>28</v>
      </c>
      <c r="G608" s="2">
        <v>24.55</v>
      </c>
      <c r="I608" s="2" t="s">
        <v>52</v>
      </c>
      <c r="J608" s="2" t="str">
        <f t="shared" si="18"/>
        <v>Nov</v>
      </c>
      <c r="K60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08" s="2" t="b">
        <v>1</v>
      </c>
      <c r="P608" s="2">
        <f t="shared" si="19"/>
        <v>738.4</v>
      </c>
    </row>
    <row r="609" spans="1:16" x14ac:dyDescent="0.35">
      <c r="A609" s="2" t="s">
        <v>1236</v>
      </c>
      <c r="B609" s="2" t="s">
        <v>1237</v>
      </c>
      <c r="C609" s="3">
        <v>45521</v>
      </c>
      <c r="D609" s="2" t="s">
        <v>37</v>
      </c>
      <c r="E609" s="2" t="s">
        <v>28</v>
      </c>
      <c r="F609" s="2">
        <v>8</v>
      </c>
      <c r="G609" s="2">
        <v>92.3</v>
      </c>
      <c r="H609" s="2">
        <v>738.4</v>
      </c>
      <c r="I609" s="2" t="s">
        <v>17</v>
      </c>
      <c r="J609" s="2" t="str">
        <f t="shared" si="18"/>
        <v>Aug</v>
      </c>
      <c r="K609" s="4">
        <f>IF(AND(ISNUMBER(Lab2_Dataset[[#This Row],[Revenue]]), ISNUMBER(Lab2_Dataset[[#This Row],[Quantity]]), Lab2_Dataset[[#This Row],[Quantity]]&lt;&gt;0), Lab2_Dataset[[#This Row],[Revenue]]/Lab2_Dataset[[#This Row],[Quantity]], "")</f>
        <v>92.3</v>
      </c>
      <c r="O609" s="2" t="b">
        <v>0</v>
      </c>
      <c r="P609" s="2" t="str">
        <f t="shared" si="19"/>
        <v/>
      </c>
    </row>
    <row r="610" spans="1:16" x14ac:dyDescent="0.35">
      <c r="A610" s="2" t="s">
        <v>1238</v>
      </c>
      <c r="B610" s="2" t="s">
        <v>1239</v>
      </c>
      <c r="C610" s="3">
        <v>45099</v>
      </c>
      <c r="D610" s="2" t="s">
        <v>34</v>
      </c>
      <c r="E610" s="2" t="s">
        <v>12</v>
      </c>
      <c r="G610" s="2">
        <v>113.88</v>
      </c>
      <c r="I610" s="2" t="s">
        <v>21</v>
      </c>
      <c r="J610" s="2" t="str">
        <f t="shared" si="18"/>
        <v>Jun</v>
      </c>
      <c r="K6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10" s="2" t="b">
        <v>1</v>
      </c>
      <c r="P610" s="2">
        <f t="shared" si="19"/>
        <v>105.72</v>
      </c>
    </row>
    <row r="611" spans="1:16" x14ac:dyDescent="0.35">
      <c r="A611" s="2" t="s">
        <v>1240</v>
      </c>
      <c r="B611" s="2" t="s">
        <v>1241</v>
      </c>
      <c r="C611" s="3">
        <v>45762</v>
      </c>
      <c r="D611" s="2" t="s">
        <v>69</v>
      </c>
      <c r="E611" s="2" t="s">
        <v>24</v>
      </c>
      <c r="F611" s="2">
        <v>2</v>
      </c>
      <c r="G611" s="2">
        <v>52.86</v>
      </c>
      <c r="H611" s="2">
        <v>105.72</v>
      </c>
      <c r="I611" s="2" t="s">
        <v>21</v>
      </c>
      <c r="J611" s="2" t="str">
        <f t="shared" si="18"/>
        <v>Apr</v>
      </c>
      <c r="K611" s="4">
        <f>IF(AND(ISNUMBER(Lab2_Dataset[[#This Row],[Revenue]]), ISNUMBER(Lab2_Dataset[[#This Row],[Quantity]]), Lab2_Dataset[[#This Row],[Quantity]]&lt;&gt;0), Lab2_Dataset[[#This Row],[Revenue]]/Lab2_Dataset[[#This Row],[Quantity]], "")</f>
        <v>52.86</v>
      </c>
      <c r="O611" s="2" t="b">
        <v>0</v>
      </c>
      <c r="P611" s="2" t="str">
        <f t="shared" si="19"/>
        <v/>
      </c>
    </row>
    <row r="612" spans="1:16" x14ac:dyDescent="0.35">
      <c r="A612" s="2" t="s">
        <v>1242</v>
      </c>
      <c r="B612" s="2" t="s">
        <v>1243</v>
      </c>
      <c r="C612" s="3">
        <v>45471</v>
      </c>
      <c r="D612" s="2" t="s">
        <v>37</v>
      </c>
      <c r="E612" s="2" t="s">
        <v>24</v>
      </c>
      <c r="G612" s="2">
        <v>112.88</v>
      </c>
      <c r="I612" s="2" t="s">
        <v>31</v>
      </c>
      <c r="J612" s="2" t="str">
        <f t="shared" si="18"/>
        <v>Jun</v>
      </c>
      <c r="K6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12" s="2" t="b">
        <v>1</v>
      </c>
      <c r="P612" s="2">
        <f t="shared" si="19"/>
        <v>312.89999999999998</v>
      </c>
    </row>
    <row r="613" spans="1:16" x14ac:dyDescent="0.35">
      <c r="A613" s="2" t="s">
        <v>1244</v>
      </c>
      <c r="B613" s="2" t="s">
        <v>1245</v>
      </c>
      <c r="C613" s="3">
        <v>45728</v>
      </c>
      <c r="D613" s="2" t="s">
        <v>27</v>
      </c>
      <c r="E613" s="2" t="s">
        <v>24</v>
      </c>
      <c r="F613" s="2">
        <v>6</v>
      </c>
      <c r="G613" s="2">
        <v>52.15</v>
      </c>
      <c r="H613" s="2">
        <v>312.89999999999998</v>
      </c>
      <c r="I613" s="2" t="s">
        <v>21</v>
      </c>
      <c r="J613" s="2" t="str">
        <f t="shared" si="18"/>
        <v>Mar</v>
      </c>
      <c r="K613" s="4">
        <f>IF(AND(ISNUMBER(Lab2_Dataset[[#This Row],[Revenue]]), ISNUMBER(Lab2_Dataset[[#This Row],[Quantity]]), Lab2_Dataset[[#This Row],[Quantity]]&lt;&gt;0), Lab2_Dataset[[#This Row],[Revenue]]/Lab2_Dataset[[#This Row],[Quantity]], "")</f>
        <v>52.15</v>
      </c>
      <c r="O613" s="2" t="b">
        <v>0</v>
      </c>
      <c r="P613" s="2">
        <f t="shared" si="19"/>
        <v>140.79</v>
      </c>
    </row>
    <row r="614" spans="1:16" x14ac:dyDescent="0.35">
      <c r="A614" s="2" t="s">
        <v>1246</v>
      </c>
      <c r="B614" s="2" t="s">
        <v>1247</v>
      </c>
      <c r="C614" s="3">
        <v>45373</v>
      </c>
      <c r="D614" s="2" t="s">
        <v>37</v>
      </c>
      <c r="E614" s="2" t="s">
        <v>24</v>
      </c>
      <c r="F614" s="2">
        <v>3</v>
      </c>
      <c r="G614" s="2">
        <v>46.93</v>
      </c>
      <c r="H614" s="2">
        <v>140.79</v>
      </c>
      <c r="I614" s="2" t="s">
        <v>38</v>
      </c>
      <c r="J614" s="2" t="str">
        <f t="shared" si="18"/>
        <v>Mar</v>
      </c>
      <c r="K614" s="4">
        <f>IF(AND(ISNUMBER(Lab2_Dataset[[#This Row],[Revenue]]), ISNUMBER(Lab2_Dataset[[#This Row],[Quantity]]), Lab2_Dataset[[#This Row],[Quantity]]&lt;&gt;0), Lab2_Dataset[[#This Row],[Revenue]]/Lab2_Dataset[[#This Row],[Quantity]], "")</f>
        <v>46.93</v>
      </c>
      <c r="O614" s="2" t="b">
        <v>0</v>
      </c>
      <c r="P614" s="2">
        <f t="shared" si="19"/>
        <v>182.5</v>
      </c>
    </row>
    <row r="615" spans="1:16" x14ac:dyDescent="0.35">
      <c r="A615" s="2" t="s">
        <v>1248</v>
      </c>
      <c r="B615" s="2" t="s">
        <v>1249</v>
      </c>
      <c r="C615" s="3">
        <v>45299</v>
      </c>
      <c r="D615" s="2" t="s">
        <v>27</v>
      </c>
      <c r="E615" s="2" t="s">
        <v>28</v>
      </c>
      <c r="F615" s="2">
        <v>2</v>
      </c>
      <c r="G615" s="2">
        <v>91.25</v>
      </c>
      <c r="H615" s="2">
        <v>182.5</v>
      </c>
      <c r="I615" s="2" t="s">
        <v>38</v>
      </c>
      <c r="J615" s="2" t="str">
        <f t="shared" si="18"/>
        <v>Jan</v>
      </c>
      <c r="K615" s="4">
        <f>IF(AND(ISNUMBER(Lab2_Dataset[[#This Row],[Revenue]]), ISNUMBER(Lab2_Dataset[[#This Row],[Quantity]]), Lab2_Dataset[[#This Row],[Quantity]]&lt;&gt;0), Lab2_Dataset[[#This Row],[Revenue]]/Lab2_Dataset[[#This Row],[Quantity]], "")</f>
        <v>91.25</v>
      </c>
      <c r="O615" s="2" t="b">
        <v>0</v>
      </c>
      <c r="P615" s="2" t="str">
        <f t="shared" si="19"/>
        <v/>
      </c>
    </row>
    <row r="616" spans="1:16" x14ac:dyDescent="0.35">
      <c r="A616" s="2" t="s">
        <v>1250</v>
      </c>
      <c r="B616" s="2" t="s">
        <v>1251</v>
      </c>
      <c r="C616" s="3">
        <v>45550</v>
      </c>
      <c r="D616" s="2" t="s">
        <v>20</v>
      </c>
      <c r="E616" s="2" t="s">
        <v>12</v>
      </c>
      <c r="G616" s="2">
        <v>87.87</v>
      </c>
      <c r="I616" s="2" t="s">
        <v>13</v>
      </c>
      <c r="J616" s="2" t="str">
        <f t="shared" si="18"/>
        <v>Sep</v>
      </c>
      <c r="K61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16" s="2" t="b">
        <v>1</v>
      </c>
      <c r="P616" s="2">
        <f t="shared" si="19"/>
        <v>1123.8000000000002</v>
      </c>
    </row>
    <row r="617" spans="1:16" x14ac:dyDescent="0.35">
      <c r="A617" s="2" t="s">
        <v>1252</v>
      </c>
      <c r="B617" s="2" t="s">
        <v>1253</v>
      </c>
      <c r="C617" s="3">
        <v>45417</v>
      </c>
      <c r="D617" s="2" t="s">
        <v>37</v>
      </c>
      <c r="E617" s="2" t="s">
        <v>28</v>
      </c>
      <c r="F617" s="2">
        <v>6</v>
      </c>
      <c r="G617" s="2">
        <v>187.3</v>
      </c>
      <c r="H617" s="2">
        <v>1123.8</v>
      </c>
      <c r="I617" s="2" t="s">
        <v>13</v>
      </c>
      <c r="J617" s="2" t="str">
        <f t="shared" si="18"/>
        <v>May</v>
      </c>
      <c r="K617" s="4">
        <f>IF(AND(ISNUMBER(Lab2_Dataset[[#This Row],[Revenue]]), ISNUMBER(Lab2_Dataset[[#This Row],[Quantity]]), Lab2_Dataset[[#This Row],[Quantity]]&lt;&gt;0), Lab2_Dataset[[#This Row],[Revenue]]/Lab2_Dataset[[#This Row],[Quantity]], "")</f>
        <v>187.29999999999998</v>
      </c>
      <c r="O617" s="2" t="b">
        <v>0</v>
      </c>
      <c r="P617" s="2">
        <f t="shared" si="19"/>
        <v>798.7</v>
      </c>
    </row>
    <row r="618" spans="1:16" x14ac:dyDescent="0.35">
      <c r="A618" s="2" t="s">
        <v>1254</v>
      </c>
      <c r="B618" s="2" t="s">
        <v>1255</v>
      </c>
      <c r="C618" s="3">
        <v>45097</v>
      </c>
      <c r="D618" s="2" t="s">
        <v>34</v>
      </c>
      <c r="E618" s="2" t="s">
        <v>24</v>
      </c>
      <c r="F618" s="2">
        <v>5</v>
      </c>
      <c r="G618" s="2">
        <v>159.74</v>
      </c>
      <c r="H618" s="2">
        <v>798.7</v>
      </c>
      <c r="I618" s="2" t="s">
        <v>17</v>
      </c>
      <c r="J618" s="2" t="str">
        <f t="shared" si="18"/>
        <v>Jun</v>
      </c>
      <c r="K618" s="4">
        <f>IF(AND(ISNUMBER(Lab2_Dataset[[#This Row],[Revenue]]), ISNUMBER(Lab2_Dataset[[#This Row],[Quantity]]), Lab2_Dataset[[#This Row],[Quantity]]&lt;&gt;0), Lab2_Dataset[[#This Row],[Revenue]]/Lab2_Dataset[[#This Row],[Quantity]], "")</f>
        <v>159.74</v>
      </c>
      <c r="O618" s="2" t="b">
        <v>0</v>
      </c>
      <c r="P618" s="2">
        <f t="shared" si="19"/>
        <v>877.59</v>
      </c>
    </row>
    <row r="619" spans="1:16" x14ac:dyDescent="0.35">
      <c r="A619" s="2" t="s">
        <v>1256</v>
      </c>
      <c r="B619" s="2" t="s">
        <v>1257</v>
      </c>
      <c r="C619" s="3">
        <v>45550</v>
      </c>
      <c r="D619" s="2" t="s">
        <v>69</v>
      </c>
      <c r="E619" s="2" t="s">
        <v>12</v>
      </c>
      <c r="F619" s="2">
        <v>9</v>
      </c>
      <c r="G619" s="2">
        <v>97.51</v>
      </c>
      <c r="H619" s="2">
        <v>877.59</v>
      </c>
      <c r="I619" s="2" t="s">
        <v>21</v>
      </c>
      <c r="J619" s="2" t="str">
        <f t="shared" si="18"/>
        <v>Sep</v>
      </c>
      <c r="K619" s="4">
        <f>IF(AND(ISNUMBER(Lab2_Dataset[[#This Row],[Revenue]]), ISNUMBER(Lab2_Dataset[[#This Row],[Quantity]]), Lab2_Dataset[[#This Row],[Quantity]]&lt;&gt;0), Lab2_Dataset[[#This Row],[Revenue]]/Lab2_Dataset[[#This Row],[Quantity]], "")</f>
        <v>97.51</v>
      </c>
      <c r="O619" s="2" t="b">
        <v>0</v>
      </c>
      <c r="P619" s="2">
        <f t="shared" si="19"/>
        <v>75.31</v>
      </c>
    </row>
    <row r="620" spans="1:16" x14ac:dyDescent="0.35">
      <c r="A620" s="2" t="s">
        <v>1258</v>
      </c>
      <c r="B620" s="2" t="s">
        <v>1259</v>
      </c>
      <c r="C620" s="3">
        <v>45608</v>
      </c>
      <c r="D620" s="2" t="s">
        <v>11</v>
      </c>
      <c r="E620" s="2" t="s">
        <v>12</v>
      </c>
      <c r="F620" s="2">
        <v>1</v>
      </c>
      <c r="G620" s="2">
        <v>75.31</v>
      </c>
      <c r="H620" s="2">
        <v>75.31</v>
      </c>
      <c r="I620" s="2" t="s">
        <v>31</v>
      </c>
      <c r="J620" s="2" t="str">
        <f t="shared" si="18"/>
        <v>Nov</v>
      </c>
      <c r="K620" s="4">
        <f>IF(AND(ISNUMBER(Lab2_Dataset[[#This Row],[Revenue]]), ISNUMBER(Lab2_Dataset[[#This Row],[Quantity]]), Lab2_Dataset[[#This Row],[Quantity]]&lt;&gt;0), Lab2_Dataset[[#This Row],[Revenue]]/Lab2_Dataset[[#This Row],[Quantity]], "")</f>
        <v>75.31</v>
      </c>
      <c r="O620" s="2" t="b">
        <v>0</v>
      </c>
      <c r="P620" s="2">
        <f t="shared" si="19"/>
        <v>764.12</v>
      </c>
    </row>
    <row r="621" spans="1:16" x14ac:dyDescent="0.35">
      <c r="A621" s="2" t="s">
        <v>1260</v>
      </c>
      <c r="B621" s="2" t="s">
        <v>1261</v>
      </c>
      <c r="C621" s="3">
        <v>45324</v>
      </c>
      <c r="D621" s="2" t="s">
        <v>69</v>
      </c>
      <c r="E621" s="2" t="s">
        <v>16</v>
      </c>
      <c r="F621" s="2">
        <v>7</v>
      </c>
      <c r="G621" s="2">
        <v>109.16</v>
      </c>
      <c r="H621" s="2">
        <v>764.12</v>
      </c>
      <c r="I621" s="2" t="s">
        <v>21</v>
      </c>
      <c r="J621" s="2" t="str">
        <f t="shared" si="18"/>
        <v>Feb</v>
      </c>
      <c r="K621" s="4">
        <f>IF(AND(ISNUMBER(Lab2_Dataset[[#This Row],[Revenue]]), ISNUMBER(Lab2_Dataset[[#This Row],[Quantity]]), Lab2_Dataset[[#This Row],[Quantity]]&lt;&gt;0), Lab2_Dataset[[#This Row],[Revenue]]/Lab2_Dataset[[#This Row],[Quantity]], "")</f>
        <v>109.16</v>
      </c>
      <c r="O621" s="2" t="b">
        <v>0</v>
      </c>
      <c r="P621" s="2" t="str">
        <f t="shared" si="19"/>
        <v/>
      </c>
    </row>
    <row r="622" spans="1:16" x14ac:dyDescent="0.35">
      <c r="A622" s="2" t="s">
        <v>1262</v>
      </c>
      <c r="B622" s="2" t="s">
        <v>1263</v>
      </c>
      <c r="C622" s="3">
        <v>45131</v>
      </c>
      <c r="D622" s="2" t="s">
        <v>69</v>
      </c>
      <c r="E622" s="2" t="s">
        <v>12</v>
      </c>
      <c r="G622" s="2">
        <v>60.07</v>
      </c>
      <c r="I622" s="2" t="s">
        <v>31</v>
      </c>
      <c r="J622" s="2" t="str">
        <f t="shared" si="18"/>
        <v>Jul</v>
      </c>
      <c r="K6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22" s="2" t="b">
        <v>1</v>
      </c>
      <c r="P622" s="2">
        <f t="shared" si="19"/>
        <v>794.75</v>
      </c>
    </row>
    <row r="623" spans="1:16" x14ac:dyDescent="0.35">
      <c r="A623" s="2" t="s">
        <v>1264</v>
      </c>
      <c r="B623" s="2" t="s">
        <v>1265</v>
      </c>
      <c r="C623" s="3">
        <v>45231</v>
      </c>
      <c r="D623" s="2" t="s">
        <v>37</v>
      </c>
      <c r="E623" s="2" t="s">
        <v>24</v>
      </c>
      <c r="F623" s="2">
        <v>5</v>
      </c>
      <c r="G623" s="2">
        <v>158.94999999999999</v>
      </c>
      <c r="H623" s="2">
        <v>794.75</v>
      </c>
      <c r="I623" s="2" t="s">
        <v>17</v>
      </c>
      <c r="J623" s="2" t="str">
        <f t="shared" si="18"/>
        <v>Nov</v>
      </c>
      <c r="K623" s="4">
        <f>IF(AND(ISNUMBER(Lab2_Dataset[[#This Row],[Revenue]]), ISNUMBER(Lab2_Dataset[[#This Row],[Quantity]]), Lab2_Dataset[[#This Row],[Quantity]]&lt;&gt;0), Lab2_Dataset[[#This Row],[Revenue]]/Lab2_Dataset[[#This Row],[Quantity]], "")</f>
        <v>158.94999999999999</v>
      </c>
      <c r="O623" s="2" t="b">
        <v>0</v>
      </c>
      <c r="P623" s="2" t="str">
        <f t="shared" si="19"/>
        <v/>
      </c>
    </row>
    <row r="624" spans="1:16" x14ac:dyDescent="0.35">
      <c r="A624" s="2" t="s">
        <v>1266</v>
      </c>
      <c r="B624" s="2" t="s">
        <v>1267</v>
      </c>
      <c r="C624" s="3">
        <v>45403</v>
      </c>
      <c r="D624" s="2" t="s">
        <v>37</v>
      </c>
      <c r="E624" s="2" t="s">
        <v>16</v>
      </c>
      <c r="G624" s="2">
        <v>54.84</v>
      </c>
      <c r="I624" s="2" t="s">
        <v>31</v>
      </c>
      <c r="J624" s="2" t="str">
        <f t="shared" si="18"/>
        <v>Apr</v>
      </c>
      <c r="K6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24" s="2" t="b">
        <v>1</v>
      </c>
      <c r="P624" s="2">
        <f t="shared" si="19"/>
        <v>332.37</v>
      </c>
    </row>
    <row r="625" spans="1:16" x14ac:dyDescent="0.35">
      <c r="A625" s="2" t="s">
        <v>1268</v>
      </c>
      <c r="B625" s="2" t="s">
        <v>1269</v>
      </c>
      <c r="C625" s="3">
        <v>45094</v>
      </c>
      <c r="D625" s="2" t="s">
        <v>20</v>
      </c>
      <c r="E625" s="2" t="s">
        <v>28</v>
      </c>
      <c r="F625" s="2">
        <v>3</v>
      </c>
      <c r="G625" s="2">
        <v>110.79</v>
      </c>
      <c r="H625" s="2">
        <v>332.37</v>
      </c>
      <c r="I625" s="2" t="s">
        <v>52</v>
      </c>
      <c r="J625" s="2" t="str">
        <f t="shared" si="18"/>
        <v>Jun</v>
      </c>
      <c r="K625" s="4">
        <f>IF(AND(ISNUMBER(Lab2_Dataset[[#This Row],[Revenue]]), ISNUMBER(Lab2_Dataset[[#This Row],[Quantity]]), Lab2_Dataset[[#This Row],[Quantity]]&lt;&gt;0), Lab2_Dataset[[#This Row],[Revenue]]/Lab2_Dataset[[#This Row],[Quantity]], "")</f>
        <v>110.79</v>
      </c>
      <c r="O625" s="2" t="b">
        <v>0</v>
      </c>
      <c r="P625" s="2">
        <f t="shared" si="19"/>
        <v>1191.82</v>
      </c>
    </row>
    <row r="626" spans="1:16" x14ac:dyDescent="0.35">
      <c r="A626" s="2" t="s">
        <v>1270</v>
      </c>
      <c r="B626" s="2" t="s">
        <v>1271</v>
      </c>
      <c r="C626" s="3">
        <v>45514</v>
      </c>
      <c r="D626" s="2" t="s">
        <v>27</v>
      </c>
      <c r="E626" s="2" t="s">
        <v>16</v>
      </c>
      <c r="F626" s="2">
        <v>7</v>
      </c>
      <c r="G626" s="2">
        <v>170.26</v>
      </c>
      <c r="H626" s="2">
        <v>1191.82</v>
      </c>
      <c r="I626" s="2" t="s">
        <v>21</v>
      </c>
      <c r="J626" s="2" t="str">
        <f t="shared" si="18"/>
        <v>Aug</v>
      </c>
      <c r="K626" s="4">
        <f>IF(AND(ISNUMBER(Lab2_Dataset[[#This Row],[Revenue]]), ISNUMBER(Lab2_Dataset[[#This Row],[Quantity]]), Lab2_Dataset[[#This Row],[Quantity]]&lt;&gt;0), Lab2_Dataset[[#This Row],[Revenue]]/Lab2_Dataset[[#This Row],[Quantity]], "")</f>
        <v>170.26</v>
      </c>
      <c r="O626" s="2" t="b">
        <v>0</v>
      </c>
      <c r="P626" s="2">
        <f t="shared" si="19"/>
        <v>799.80000000000007</v>
      </c>
    </row>
    <row r="627" spans="1:16" x14ac:dyDescent="0.35">
      <c r="A627" s="2" t="s">
        <v>1272</v>
      </c>
      <c r="B627" s="2" t="s">
        <v>1273</v>
      </c>
      <c r="C627" s="3">
        <v>45382</v>
      </c>
      <c r="D627" s="2" t="s">
        <v>11</v>
      </c>
      <c r="E627" s="2" t="s">
        <v>12</v>
      </c>
      <c r="F627" s="2">
        <v>6</v>
      </c>
      <c r="G627" s="2">
        <v>133.30000000000001</v>
      </c>
      <c r="H627" s="2">
        <v>799.8</v>
      </c>
      <c r="I627" s="2" t="s">
        <v>13</v>
      </c>
      <c r="J627" s="2" t="str">
        <f t="shared" si="18"/>
        <v>Mar</v>
      </c>
      <c r="K627" s="4">
        <f>IF(AND(ISNUMBER(Lab2_Dataset[[#This Row],[Revenue]]), ISNUMBER(Lab2_Dataset[[#This Row],[Quantity]]), Lab2_Dataset[[#This Row],[Quantity]]&lt;&gt;0), Lab2_Dataset[[#This Row],[Revenue]]/Lab2_Dataset[[#This Row],[Quantity]], "")</f>
        <v>133.29999999999998</v>
      </c>
      <c r="O627" s="2" t="b">
        <v>0</v>
      </c>
      <c r="P627" s="2" t="str">
        <f t="shared" si="19"/>
        <v/>
      </c>
    </row>
    <row r="628" spans="1:16" x14ac:dyDescent="0.35">
      <c r="A628" s="2" t="s">
        <v>1274</v>
      </c>
      <c r="B628" s="2" t="s">
        <v>1275</v>
      </c>
      <c r="C628" s="3">
        <v>45187</v>
      </c>
      <c r="D628" s="2" t="s">
        <v>69</v>
      </c>
      <c r="E628" s="2" t="s">
        <v>12</v>
      </c>
      <c r="G628" s="2">
        <v>104.54</v>
      </c>
      <c r="I628" s="2" t="s">
        <v>38</v>
      </c>
      <c r="J628" s="2" t="str">
        <f t="shared" si="18"/>
        <v>Sep</v>
      </c>
      <c r="K6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28" s="2" t="b">
        <v>1</v>
      </c>
      <c r="P628" s="2">
        <f t="shared" si="19"/>
        <v>1195.8600000000001</v>
      </c>
    </row>
    <row r="629" spans="1:16" x14ac:dyDescent="0.35">
      <c r="A629" s="2" t="s">
        <v>1276</v>
      </c>
      <c r="B629" s="2" t="s">
        <v>1277</v>
      </c>
      <c r="C629" s="3">
        <v>45549</v>
      </c>
      <c r="D629" s="2" t="s">
        <v>34</v>
      </c>
      <c r="E629" s="2" t="s">
        <v>12</v>
      </c>
      <c r="F629" s="2">
        <v>6</v>
      </c>
      <c r="G629" s="2">
        <v>199.31</v>
      </c>
      <c r="H629" s="2">
        <v>1195.8599999999999</v>
      </c>
      <c r="I629" s="2" t="s">
        <v>13</v>
      </c>
      <c r="J629" s="2" t="str">
        <f t="shared" si="18"/>
        <v>Sep</v>
      </c>
      <c r="K629" s="4">
        <f>IF(AND(ISNUMBER(Lab2_Dataset[[#This Row],[Revenue]]), ISNUMBER(Lab2_Dataset[[#This Row],[Quantity]]), Lab2_Dataset[[#This Row],[Quantity]]&lt;&gt;0), Lab2_Dataset[[#This Row],[Revenue]]/Lab2_Dataset[[#This Row],[Quantity]], "")</f>
        <v>199.30999999999997</v>
      </c>
      <c r="O629" s="2" t="b">
        <v>0</v>
      </c>
      <c r="P629" s="2">
        <f t="shared" si="19"/>
        <v>219.84</v>
      </c>
    </row>
    <row r="630" spans="1:16" x14ac:dyDescent="0.35">
      <c r="A630" s="2" t="s">
        <v>1278</v>
      </c>
      <c r="B630" s="2" t="s">
        <v>1279</v>
      </c>
      <c r="C630" s="3">
        <v>45460</v>
      </c>
      <c r="D630" s="2" t="s">
        <v>69</v>
      </c>
      <c r="E630" s="2" t="s">
        <v>24</v>
      </c>
      <c r="F630" s="2">
        <v>2</v>
      </c>
      <c r="G630" s="2">
        <v>109.92</v>
      </c>
      <c r="H630" s="2">
        <v>219.84</v>
      </c>
      <c r="I630" s="2" t="s">
        <v>38</v>
      </c>
      <c r="J630" s="2" t="str">
        <f t="shared" si="18"/>
        <v>Jun</v>
      </c>
      <c r="K630" s="4">
        <f>IF(AND(ISNUMBER(Lab2_Dataset[[#This Row],[Revenue]]), ISNUMBER(Lab2_Dataset[[#This Row],[Quantity]]), Lab2_Dataset[[#This Row],[Quantity]]&lt;&gt;0), Lab2_Dataset[[#This Row],[Revenue]]/Lab2_Dataset[[#This Row],[Quantity]], "")</f>
        <v>109.92</v>
      </c>
      <c r="O630" s="2" t="b">
        <v>0</v>
      </c>
      <c r="P630" s="2">
        <f t="shared" si="19"/>
        <v>364.8</v>
      </c>
    </row>
    <row r="631" spans="1:16" x14ac:dyDescent="0.35">
      <c r="A631" s="2" t="s">
        <v>1280</v>
      </c>
      <c r="B631" s="2" t="s">
        <v>1281</v>
      </c>
      <c r="C631" s="3">
        <v>45154</v>
      </c>
      <c r="D631" s="2" t="s">
        <v>27</v>
      </c>
      <c r="E631" s="2" t="s">
        <v>24</v>
      </c>
      <c r="F631" s="2">
        <v>2</v>
      </c>
      <c r="G631" s="2">
        <v>182.4</v>
      </c>
      <c r="H631" s="2">
        <v>364.8</v>
      </c>
      <c r="I631" s="2" t="s">
        <v>38</v>
      </c>
      <c r="J631" s="2" t="str">
        <f t="shared" si="18"/>
        <v>Aug</v>
      </c>
      <c r="K631" s="4">
        <f>IF(AND(ISNUMBER(Lab2_Dataset[[#This Row],[Revenue]]), ISNUMBER(Lab2_Dataset[[#This Row],[Quantity]]), Lab2_Dataset[[#This Row],[Quantity]]&lt;&gt;0), Lab2_Dataset[[#This Row],[Revenue]]/Lab2_Dataset[[#This Row],[Quantity]], "")</f>
        <v>182.4</v>
      </c>
      <c r="O631" s="2" t="b">
        <v>0</v>
      </c>
      <c r="P631" s="2" t="str">
        <f t="shared" si="19"/>
        <v/>
      </c>
    </row>
    <row r="632" spans="1:16" x14ac:dyDescent="0.35">
      <c r="A632" s="2" t="s">
        <v>1282</v>
      </c>
      <c r="B632" s="2" t="s">
        <v>1283</v>
      </c>
      <c r="C632" s="3">
        <v>45421</v>
      </c>
      <c r="D632" s="2" t="s">
        <v>27</v>
      </c>
      <c r="E632" s="2" t="s">
        <v>16</v>
      </c>
      <c r="G632" s="2">
        <v>51.62</v>
      </c>
      <c r="I632" s="2" t="s">
        <v>31</v>
      </c>
      <c r="J632" s="2" t="str">
        <f t="shared" si="18"/>
        <v>May</v>
      </c>
      <c r="K6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2" s="2" t="b">
        <v>1</v>
      </c>
      <c r="P632" s="2">
        <f t="shared" si="19"/>
        <v>339.96</v>
      </c>
    </row>
    <row r="633" spans="1:16" x14ac:dyDescent="0.35">
      <c r="A633" s="2" t="s">
        <v>1284</v>
      </c>
      <c r="B633" s="2" t="s">
        <v>1285</v>
      </c>
      <c r="C633" s="3">
        <v>45130</v>
      </c>
      <c r="D633" s="2" t="s">
        <v>34</v>
      </c>
      <c r="E633" s="2" t="s">
        <v>24</v>
      </c>
      <c r="F633" s="2">
        <v>3</v>
      </c>
      <c r="G633" s="2">
        <v>113.32</v>
      </c>
      <c r="H633" s="2">
        <v>339.96</v>
      </c>
      <c r="I633" s="2" t="s">
        <v>21</v>
      </c>
      <c r="J633" s="2" t="str">
        <f t="shared" si="18"/>
        <v>Jul</v>
      </c>
      <c r="K633" s="4">
        <f>IF(AND(ISNUMBER(Lab2_Dataset[[#This Row],[Revenue]]), ISNUMBER(Lab2_Dataset[[#This Row],[Quantity]]), Lab2_Dataset[[#This Row],[Quantity]]&lt;&gt;0), Lab2_Dataset[[#This Row],[Revenue]]/Lab2_Dataset[[#This Row],[Quantity]], "")</f>
        <v>113.32</v>
      </c>
      <c r="O633" s="2" t="b">
        <v>0</v>
      </c>
      <c r="P633" s="2">
        <f t="shared" si="19"/>
        <v>296.54000000000002</v>
      </c>
    </row>
    <row r="634" spans="1:16" x14ac:dyDescent="0.35">
      <c r="A634" s="2" t="s">
        <v>1286</v>
      </c>
      <c r="B634" s="2" t="s">
        <v>1287</v>
      </c>
      <c r="C634" s="3">
        <v>45332</v>
      </c>
      <c r="D634" s="2" t="s">
        <v>34</v>
      </c>
      <c r="E634" s="2" t="s">
        <v>47</v>
      </c>
      <c r="F634" s="2">
        <v>2</v>
      </c>
      <c r="G634" s="2">
        <v>148.27000000000001</v>
      </c>
      <c r="H634" s="2">
        <v>296.54000000000002</v>
      </c>
      <c r="I634" s="2" t="s">
        <v>13</v>
      </c>
      <c r="J634" s="2" t="str">
        <f t="shared" si="18"/>
        <v>Feb</v>
      </c>
      <c r="K634" s="4">
        <f>IF(AND(ISNUMBER(Lab2_Dataset[[#This Row],[Revenue]]), ISNUMBER(Lab2_Dataset[[#This Row],[Quantity]]), Lab2_Dataset[[#This Row],[Quantity]]&lt;&gt;0), Lab2_Dataset[[#This Row],[Revenue]]/Lab2_Dataset[[#This Row],[Quantity]], "")</f>
        <v>148.27000000000001</v>
      </c>
      <c r="O634" s="2" t="b">
        <v>0</v>
      </c>
      <c r="P634" s="2" t="str">
        <f t="shared" si="19"/>
        <v/>
      </c>
    </row>
    <row r="635" spans="1:16" x14ac:dyDescent="0.35">
      <c r="A635" s="2" t="s">
        <v>1288</v>
      </c>
      <c r="B635" s="2" t="s">
        <v>1289</v>
      </c>
      <c r="C635" s="3">
        <v>45115</v>
      </c>
      <c r="D635" s="2" t="s">
        <v>27</v>
      </c>
      <c r="E635" s="2" t="s">
        <v>16</v>
      </c>
      <c r="G635" s="2">
        <v>40.090000000000003</v>
      </c>
      <c r="I635" s="2" t="s">
        <v>21</v>
      </c>
      <c r="J635" s="2" t="str">
        <f t="shared" si="18"/>
        <v>Jul</v>
      </c>
      <c r="K6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5" s="2" t="b">
        <v>1</v>
      </c>
      <c r="P635" s="2" t="str">
        <f t="shared" si="19"/>
        <v/>
      </c>
    </row>
    <row r="636" spans="1:16" x14ac:dyDescent="0.35">
      <c r="A636" s="2" t="s">
        <v>1290</v>
      </c>
      <c r="B636" s="2" t="s">
        <v>1291</v>
      </c>
      <c r="C636" s="3">
        <v>45291</v>
      </c>
      <c r="D636" s="2" t="s">
        <v>11</v>
      </c>
      <c r="E636" s="2" t="s">
        <v>28</v>
      </c>
      <c r="G636" s="2">
        <v>167.05</v>
      </c>
      <c r="I636" s="2" t="s">
        <v>31</v>
      </c>
      <c r="J636" s="2" t="str">
        <f t="shared" si="18"/>
        <v>Dec</v>
      </c>
      <c r="K6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6" s="2" t="b">
        <v>1</v>
      </c>
      <c r="P636" s="2" t="str">
        <f t="shared" si="19"/>
        <v/>
      </c>
    </row>
    <row r="637" spans="1:16" x14ac:dyDescent="0.35">
      <c r="A637" s="2" t="s">
        <v>1292</v>
      </c>
      <c r="B637" s="2" t="s">
        <v>1293</v>
      </c>
      <c r="C637" s="3">
        <v>45578</v>
      </c>
      <c r="D637" s="2" t="s">
        <v>34</v>
      </c>
      <c r="E637" s="2" t="s">
        <v>16</v>
      </c>
      <c r="G637" s="2">
        <v>124.89</v>
      </c>
      <c r="I637" s="2" t="s">
        <v>17</v>
      </c>
      <c r="J637" s="2" t="str">
        <f t="shared" si="18"/>
        <v>Oct</v>
      </c>
      <c r="K6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7" s="2" t="b">
        <v>1</v>
      </c>
      <c r="P637" s="2" t="str">
        <f t="shared" si="19"/>
        <v/>
      </c>
    </row>
    <row r="638" spans="1:16" x14ac:dyDescent="0.35">
      <c r="A638" s="2" t="s">
        <v>1294</v>
      </c>
      <c r="B638" s="2" t="s">
        <v>1295</v>
      </c>
      <c r="C638" s="3">
        <v>45298</v>
      </c>
      <c r="D638" s="2" t="s">
        <v>20</v>
      </c>
      <c r="E638" s="2" t="s">
        <v>28</v>
      </c>
      <c r="G638" s="2">
        <v>102.13</v>
      </c>
      <c r="I638" s="2" t="s">
        <v>13</v>
      </c>
      <c r="J638" s="2" t="str">
        <f t="shared" si="18"/>
        <v>Jan</v>
      </c>
      <c r="K63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8" s="2" t="b">
        <v>1</v>
      </c>
      <c r="P638" s="2" t="str">
        <f t="shared" si="19"/>
        <v/>
      </c>
    </row>
    <row r="639" spans="1:16" x14ac:dyDescent="0.35">
      <c r="A639" s="2" t="s">
        <v>1296</v>
      </c>
      <c r="B639" s="2" t="s">
        <v>1297</v>
      </c>
      <c r="C639" s="3">
        <v>45197</v>
      </c>
      <c r="D639" s="2" t="s">
        <v>20</v>
      </c>
      <c r="E639" s="2" t="s">
        <v>28</v>
      </c>
      <c r="G639" s="2">
        <v>42.93</v>
      </c>
      <c r="I639" s="2" t="s">
        <v>21</v>
      </c>
      <c r="J639" s="2" t="str">
        <f t="shared" si="18"/>
        <v>Sep</v>
      </c>
      <c r="K6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39" s="2" t="b">
        <v>1</v>
      </c>
      <c r="P639" s="2">
        <f t="shared" si="19"/>
        <v>233.31</v>
      </c>
    </row>
    <row r="640" spans="1:16" x14ac:dyDescent="0.35">
      <c r="A640" s="2" t="s">
        <v>1298</v>
      </c>
      <c r="B640" s="2" t="s">
        <v>1299</v>
      </c>
      <c r="C640" s="3">
        <v>45156</v>
      </c>
      <c r="D640" s="2" t="s">
        <v>11</v>
      </c>
      <c r="E640" s="2" t="s">
        <v>16</v>
      </c>
      <c r="F640" s="2">
        <v>7</v>
      </c>
      <c r="G640" s="2">
        <v>33.33</v>
      </c>
      <c r="H640" s="2">
        <v>233.31</v>
      </c>
      <c r="I640" s="2" t="s">
        <v>13</v>
      </c>
      <c r="J640" s="2" t="str">
        <f t="shared" si="18"/>
        <v>Aug</v>
      </c>
      <c r="K640" s="4">
        <f>IF(AND(ISNUMBER(Lab2_Dataset[[#This Row],[Revenue]]), ISNUMBER(Lab2_Dataset[[#This Row],[Quantity]]), Lab2_Dataset[[#This Row],[Quantity]]&lt;&gt;0), Lab2_Dataset[[#This Row],[Revenue]]/Lab2_Dataset[[#This Row],[Quantity]], "")</f>
        <v>33.33</v>
      </c>
      <c r="O640" s="2" t="b">
        <v>0</v>
      </c>
      <c r="P640" s="2">
        <f t="shared" si="19"/>
        <v>271.59000000000003</v>
      </c>
    </row>
    <row r="641" spans="1:16" x14ac:dyDescent="0.35">
      <c r="A641" s="2" t="s">
        <v>1300</v>
      </c>
      <c r="B641" s="2" t="s">
        <v>1301</v>
      </c>
      <c r="C641" s="3">
        <v>45715</v>
      </c>
      <c r="D641" s="2" t="s">
        <v>37</v>
      </c>
      <c r="E641" s="2" t="s">
        <v>12</v>
      </c>
      <c r="F641" s="2">
        <v>3</v>
      </c>
      <c r="G641" s="2">
        <v>90.53</v>
      </c>
      <c r="H641" s="2">
        <v>271.58999999999997</v>
      </c>
      <c r="I641" s="2" t="s">
        <v>52</v>
      </c>
      <c r="J641" s="2" t="str">
        <f t="shared" si="18"/>
        <v>Feb</v>
      </c>
      <c r="K641" s="4">
        <f>IF(AND(ISNUMBER(Lab2_Dataset[[#This Row],[Revenue]]), ISNUMBER(Lab2_Dataset[[#This Row],[Quantity]]), Lab2_Dataset[[#This Row],[Quantity]]&lt;&gt;0), Lab2_Dataset[[#This Row],[Revenue]]/Lab2_Dataset[[#This Row],[Quantity]], "")</f>
        <v>90.529999999999987</v>
      </c>
      <c r="O641" s="2" t="b">
        <v>0</v>
      </c>
      <c r="P641" s="2" t="str">
        <f t="shared" si="19"/>
        <v/>
      </c>
    </row>
    <row r="642" spans="1:16" x14ac:dyDescent="0.35">
      <c r="A642" s="2" t="s">
        <v>1302</v>
      </c>
      <c r="B642" s="2" t="s">
        <v>1303</v>
      </c>
      <c r="C642" s="3">
        <v>45670</v>
      </c>
      <c r="D642" s="2" t="s">
        <v>69</v>
      </c>
      <c r="E642" s="2" t="s">
        <v>12</v>
      </c>
      <c r="G642" s="2">
        <v>195.73</v>
      </c>
      <c r="I642" s="2" t="s">
        <v>38</v>
      </c>
      <c r="J642" s="2" t="str">
        <f t="shared" ref="J642:J705" si="20">TEXT(C642,"mmm")</f>
        <v>Jan</v>
      </c>
      <c r="K6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42" s="2" t="b">
        <v>1</v>
      </c>
      <c r="P642" s="2" t="str">
        <f t="shared" si="19"/>
        <v/>
      </c>
    </row>
    <row r="643" spans="1:16" x14ac:dyDescent="0.35">
      <c r="A643" s="2" t="s">
        <v>1304</v>
      </c>
      <c r="B643" s="2" t="s">
        <v>1305</v>
      </c>
      <c r="C643" s="3">
        <v>45592</v>
      </c>
      <c r="D643" s="2" t="s">
        <v>69</v>
      </c>
      <c r="E643" s="2" t="s">
        <v>24</v>
      </c>
      <c r="G643" s="2">
        <v>189.15</v>
      </c>
      <c r="I643" s="2" t="s">
        <v>38</v>
      </c>
      <c r="J643" s="2" t="str">
        <f t="shared" si="20"/>
        <v>Oct</v>
      </c>
      <c r="K6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43" s="2" t="b">
        <v>1</v>
      </c>
      <c r="P643" s="2">
        <f t="shared" ref="P643:P706" si="21">IF(O644=TRUE,"",F644*G644)</f>
        <v>526.16</v>
      </c>
    </row>
    <row r="644" spans="1:16" x14ac:dyDescent="0.35">
      <c r="A644" s="2" t="s">
        <v>1306</v>
      </c>
      <c r="B644" s="2" t="s">
        <v>1307</v>
      </c>
      <c r="C644" s="3">
        <v>45457</v>
      </c>
      <c r="D644" s="2" t="s">
        <v>34</v>
      </c>
      <c r="E644" s="2" t="s">
        <v>16</v>
      </c>
      <c r="F644" s="2">
        <v>4</v>
      </c>
      <c r="G644" s="2">
        <v>131.54</v>
      </c>
      <c r="H644" s="2">
        <v>526.16</v>
      </c>
      <c r="I644" s="2" t="s">
        <v>31</v>
      </c>
      <c r="J644" s="2" t="str">
        <f t="shared" si="20"/>
        <v>Jun</v>
      </c>
      <c r="K644" s="4">
        <f>IF(AND(ISNUMBER(Lab2_Dataset[[#This Row],[Revenue]]), ISNUMBER(Lab2_Dataset[[#This Row],[Quantity]]), Lab2_Dataset[[#This Row],[Quantity]]&lt;&gt;0), Lab2_Dataset[[#This Row],[Revenue]]/Lab2_Dataset[[#This Row],[Quantity]], "")</f>
        <v>131.54</v>
      </c>
      <c r="O644" s="2" t="b">
        <v>0</v>
      </c>
      <c r="P644" s="2">
        <f t="shared" si="21"/>
        <v>504.64</v>
      </c>
    </row>
    <row r="645" spans="1:16" x14ac:dyDescent="0.35">
      <c r="A645" s="2" t="s">
        <v>1308</v>
      </c>
      <c r="B645" s="2" t="s">
        <v>1309</v>
      </c>
      <c r="C645" s="3">
        <v>45535</v>
      </c>
      <c r="D645" s="2" t="s">
        <v>11</v>
      </c>
      <c r="E645" s="2" t="s">
        <v>12</v>
      </c>
      <c r="F645" s="2">
        <v>8</v>
      </c>
      <c r="G645" s="2">
        <v>63.08</v>
      </c>
      <c r="H645" s="2">
        <v>504.64</v>
      </c>
      <c r="I645" s="2" t="s">
        <v>31</v>
      </c>
      <c r="J645" s="2" t="str">
        <f t="shared" si="20"/>
        <v>Aug</v>
      </c>
      <c r="K645" s="4">
        <f>IF(AND(ISNUMBER(Lab2_Dataset[[#This Row],[Revenue]]), ISNUMBER(Lab2_Dataset[[#This Row],[Quantity]]), Lab2_Dataset[[#This Row],[Quantity]]&lt;&gt;0), Lab2_Dataset[[#This Row],[Revenue]]/Lab2_Dataset[[#This Row],[Quantity]], "")</f>
        <v>63.08</v>
      </c>
      <c r="O645" s="2" t="b">
        <v>0</v>
      </c>
      <c r="P645" s="2" t="str">
        <f t="shared" si="21"/>
        <v/>
      </c>
    </row>
    <row r="646" spans="1:16" x14ac:dyDescent="0.35">
      <c r="A646" s="2" t="s">
        <v>1310</v>
      </c>
      <c r="B646" s="2" t="s">
        <v>1311</v>
      </c>
      <c r="C646" s="3">
        <v>45198</v>
      </c>
      <c r="D646" s="2" t="s">
        <v>37</v>
      </c>
      <c r="E646" s="2" t="s">
        <v>24</v>
      </c>
      <c r="G646" s="2">
        <v>194.36</v>
      </c>
      <c r="I646" s="2" t="s">
        <v>31</v>
      </c>
      <c r="J646" s="2" t="str">
        <f t="shared" si="20"/>
        <v>Sep</v>
      </c>
      <c r="K64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46" s="2" t="b">
        <v>1</v>
      </c>
      <c r="P646" s="2">
        <f t="shared" si="21"/>
        <v>154.37</v>
      </c>
    </row>
    <row r="647" spans="1:16" x14ac:dyDescent="0.35">
      <c r="A647" s="2" t="s">
        <v>1312</v>
      </c>
      <c r="B647" s="2" t="s">
        <v>1313</v>
      </c>
      <c r="C647" s="3">
        <v>45684</v>
      </c>
      <c r="D647" s="2" t="s">
        <v>27</v>
      </c>
      <c r="E647" s="2" t="s">
        <v>28</v>
      </c>
      <c r="F647" s="2">
        <v>1</v>
      </c>
      <c r="G647" s="2">
        <v>154.37</v>
      </c>
      <c r="H647" s="2">
        <v>154.37</v>
      </c>
      <c r="I647" s="2" t="s">
        <v>31</v>
      </c>
      <c r="J647" s="2" t="str">
        <f t="shared" si="20"/>
        <v>Jan</v>
      </c>
      <c r="K647" s="4">
        <f>IF(AND(ISNUMBER(Lab2_Dataset[[#This Row],[Revenue]]), ISNUMBER(Lab2_Dataset[[#This Row],[Quantity]]), Lab2_Dataset[[#This Row],[Quantity]]&lt;&gt;0), Lab2_Dataset[[#This Row],[Revenue]]/Lab2_Dataset[[#This Row],[Quantity]], "")</f>
        <v>154.37</v>
      </c>
      <c r="O647" s="2" t="b">
        <v>0</v>
      </c>
      <c r="P647" s="2" t="str">
        <f t="shared" si="21"/>
        <v/>
      </c>
    </row>
    <row r="648" spans="1:16" x14ac:dyDescent="0.35">
      <c r="A648" s="2" t="s">
        <v>1314</v>
      </c>
      <c r="B648" s="2" t="s">
        <v>1315</v>
      </c>
      <c r="C648" s="3">
        <v>45137</v>
      </c>
      <c r="D648" s="2" t="s">
        <v>27</v>
      </c>
      <c r="E648" s="2" t="s">
        <v>47</v>
      </c>
      <c r="G648" s="2">
        <v>136.33000000000001</v>
      </c>
      <c r="I648" s="2" t="s">
        <v>21</v>
      </c>
      <c r="J648" s="2" t="str">
        <f t="shared" si="20"/>
        <v>Jul</v>
      </c>
      <c r="K6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48" s="2" t="b">
        <v>1</v>
      </c>
      <c r="P648" s="2">
        <f t="shared" si="21"/>
        <v>1321.2</v>
      </c>
    </row>
    <row r="649" spans="1:16" x14ac:dyDescent="0.35">
      <c r="A649" s="2" t="s">
        <v>1316</v>
      </c>
      <c r="B649" s="2" t="s">
        <v>1317</v>
      </c>
      <c r="C649" s="3">
        <v>45242</v>
      </c>
      <c r="D649" s="2" t="s">
        <v>27</v>
      </c>
      <c r="E649" s="2" t="s">
        <v>12</v>
      </c>
      <c r="F649" s="2">
        <v>8</v>
      </c>
      <c r="G649" s="2">
        <v>165.15</v>
      </c>
      <c r="H649" s="2">
        <v>1321.2</v>
      </c>
      <c r="I649" s="2" t="s">
        <v>52</v>
      </c>
      <c r="J649" s="2" t="str">
        <f t="shared" si="20"/>
        <v>Nov</v>
      </c>
      <c r="K649" s="4">
        <f>IF(AND(ISNUMBER(Lab2_Dataset[[#This Row],[Revenue]]), ISNUMBER(Lab2_Dataset[[#This Row],[Quantity]]), Lab2_Dataset[[#This Row],[Quantity]]&lt;&gt;0), Lab2_Dataset[[#This Row],[Revenue]]/Lab2_Dataset[[#This Row],[Quantity]], "")</f>
        <v>165.15</v>
      </c>
      <c r="O649" s="2" t="b">
        <v>0</v>
      </c>
      <c r="P649" s="2" t="str">
        <f t="shared" si="21"/>
        <v/>
      </c>
    </row>
    <row r="650" spans="1:16" x14ac:dyDescent="0.35">
      <c r="A650" s="2" t="s">
        <v>1318</v>
      </c>
      <c r="B650" s="2" t="s">
        <v>1319</v>
      </c>
      <c r="C650" s="3">
        <v>45404</v>
      </c>
      <c r="D650" s="2" t="s">
        <v>34</v>
      </c>
      <c r="E650" s="2" t="s">
        <v>47</v>
      </c>
      <c r="G650" s="2">
        <v>96.53</v>
      </c>
      <c r="I650" s="2" t="s">
        <v>38</v>
      </c>
      <c r="J650" s="2" t="str">
        <f t="shared" si="20"/>
        <v>Apr</v>
      </c>
      <c r="K65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0" s="2" t="b">
        <v>1</v>
      </c>
      <c r="P650" s="2">
        <f t="shared" si="21"/>
        <v>24.84</v>
      </c>
    </row>
    <row r="651" spans="1:16" x14ac:dyDescent="0.35">
      <c r="A651" s="2" t="s">
        <v>1320</v>
      </c>
      <c r="B651" s="2" t="s">
        <v>1321</v>
      </c>
      <c r="C651" s="3">
        <v>45259</v>
      </c>
      <c r="D651" s="2" t="s">
        <v>37</v>
      </c>
      <c r="E651" s="2" t="s">
        <v>12</v>
      </c>
      <c r="F651" s="2">
        <v>2</v>
      </c>
      <c r="G651" s="2">
        <v>12.42</v>
      </c>
      <c r="H651" s="2">
        <v>24.84</v>
      </c>
      <c r="I651" s="2" t="s">
        <v>38</v>
      </c>
      <c r="J651" s="2" t="str">
        <f t="shared" si="20"/>
        <v>Nov</v>
      </c>
      <c r="K651" s="4">
        <f>IF(AND(ISNUMBER(Lab2_Dataset[[#This Row],[Revenue]]), ISNUMBER(Lab2_Dataset[[#This Row],[Quantity]]), Lab2_Dataset[[#This Row],[Quantity]]&lt;&gt;0), Lab2_Dataset[[#This Row],[Revenue]]/Lab2_Dataset[[#This Row],[Quantity]], "")</f>
        <v>12.42</v>
      </c>
      <c r="O651" s="2" t="b">
        <v>0</v>
      </c>
      <c r="P651" s="2">
        <f t="shared" si="21"/>
        <v>659.22</v>
      </c>
    </row>
    <row r="652" spans="1:16" x14ac:dyDescent="0.35">
      <c r="A652" s="2" t="s">
        <v>1322</v>
      </c>
      <c r="B652" s="2" t="s">
        <v>1323</v>
      </c>
      <c r="C652" s="3">
        <v>45073</v>
      </c>
      <c r="D652" s="2" t="s">
        <v>69</v>
      </c>
      <c r="E652" s="2" t="s">
        <v>47</v>
      </c>
      <c r="F652" s="2">
        <v>6</v>
      </c>
      <c r="G652" s="2">
        <v>109.87</v>
      </c>
      <c r="H652" s="2">
        <v>659.22</v>
      </c>
      <c r="I652" s="2" t="s">
        <v>13</v>
      </c>
      <c r="J652" s="2" t="str">
        <f t="shared" si="20"/>
        <v>May</v>
      </c>
      <c r="K652" s="4">
        <f>IF(AND(ISNUMBER(Lab2_Dataset[[#This Row],[Revenue]]), ISNUMBER(Lab2_Dataset[[#This Row],[Quantity]]), Lab2_Dataset[[#This Row],[Quantity]]&lt;&gt;0), Lab2_Dataset[[#This Row],[Revenue]]/Lab2_Dataset[[#This Row],[Quantity]], "")</f>
        <v>109.87</v>
      </c>
      <c r="O652" s="2" t="b">
        <v>0</v>
      </c>
      <c r="P652" s="2" t="str">
        <f t="shared" si="21"/>
        <v/>
      </c>
    </row>
    <row r="653" spans="1:16" x14ac:dyDescent="0.35">
      <c r="A653" s="2" t="s">
        <v>1324</v>
      </c>
      <c r="B653" s="2" t="s">
        <v>1325</v>
      </c>
      <c r="C653" s="3">
        <v>45648</v>
      </c>
      <c r="D653" s="2" t="s">
        <v>20</v>
      </c>
      <c r="E653" s="2" t="s">
        <v>16</v>
      </c>
      <c r="G653" s="2">
        <v>188.45</v>
      </c>
      <c r="I653" s="2" t="s">
        <v>21</v>
      </c>
      <c r="J653" s="2" t="str">
        <f t="shared" si="20"/>
        <v>Dec</v>
      </c>
      <c r="K6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3" s="2" t="b">
        <v>1</v>
      </c>
      <c r="P653" s="2">
        <f t="shared" si="21"/>
        <v>339.8</v>
      </c>
    </row>
    <row r="654" spans="1:16" x14ac:dyDescent="0.35">
      <c r="A654" s="2" t="s">
        <v>1326</v>
      </c>
      <c r="B654" s="2" t="s">
        <v>931</v>
      </c>
      <c r="C654" s="3">
        <v>45241</v>
      </c>
      <c r="D654" s="2" t="s">
        <v>69</v>
      </c>
      <c r="E654" s="2" t="s">
        <v>28</v>
      </c>
      <c r="F654" s="2">
        <v>2</v>
      </c>
      <c r="G654" s="2">
        <v>169.9</v>
      </c>
      <c r="H654" s="2">
        <v>339.8</v>
      </c>
      <c r="I654" s="2" t="s">
        <v>17</v>
      </c>
      <c r="J654" s="2" t="str">
        <f t="shared" si="20"/>
        <v>Nov</v>
      </c>
      <c r="K654" s="4">
        <f>IF(AND(ISNUMBER(Lab2_Dataset[[#This Row],[Revenue]]), ISNUMBER(Lab2_Dataset[[#This Row],[Quantity]]), Lab2_Dataset[[#This Row],[Quantity]]&lt;&gt;0), Lab2_Dataset[[#This Row],[Revenue]]/Lab2_Dataset[[#This Row],[Quantity]], "")</f>
        <v>169.9</v>
      </c>
      <c r="O654" s="2" t="b">
        <v>0</v>
      </c>
      <c r="P654" s="2" t="str">
        <f t="shared" si="21"/>
        <v/>
      </c>
    </row>
    <row r="655" spans="1:16" x14ac:dyDescent="0.35">
      <c r="A655" s="2" t="s">
        <v>1327</v>
      </c>
      <c r="B655" s="2" t="s">
        <v>1328</v>
      </c>
      <c r="C655" s="3">
        <v>45415</v>
      </c>
      <c r="D655" s="2" t="s">
        <v>69</v>
      </c>
      <c r="E655" s="2" t="s">
        <v>24</v>
      </c>
      <c r="G655" s="2">
        <v>82.64</v>
      </c>
      <c r="I655" s="2" t="s">
        <v>13</v>
      </c>
      <c r="J655" s="2" t="str">
        <f t="shared" si="20"/>
        <v>May</v>
      </c>
      <c r="K6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5" s="2" t="b">
        <v>1</v>
      </c>
      <c r="P655" s="2">
        <f t="shared" si="21"/>
        <v>1714.5</v>
      </c>
    </row>
    <row r="656" spans="1:16" x14ac:dyDescent="0.35">
      <c r="A656" s="2" t="s">
        <v>1329</v>
      </c>
      <c r="B656" s="2" t="s">
        <v>1330</v>
      </c>
      <c r="C656" s="3">
        <v>45392</v>
      </c>
      <c r="D656" s="2" t="s">
        <v>27</v>
      </c>
      <c r="E656" s="2" t="s">
        <v>47</v>
      </c>
      <c r="F656" s="2">
        <v>9</v>
      </c>
      <c r="G656" s="2">
        <v>190.5</v>
      </c>
      <c r="H656" s="2">
        <v>1714.5</v>
      </c>
      <c r="I656" s="2" t="s">
        <v>52</v>
      </c>
      <c r="J656" s="2" t="str">
        <f t="shared" si="20"/>
        <v>Apr</v>
      </c>
      <c r="K656" s="4">
        <f>IF(AND(ISNUMBER(Lab2_Dataset[[#This Row],[Revenue]]), ISNUMBER(Lab2_Dataset[[#This Row],[Quantity]]), Lab2_Dataset[[#This Row],[Quantity]]&lt;&gt;0), Lab2_Dataset[[#This Row],[Revenue]]/Lab2_Dataset[[#This Row],[Quantity]], "")</f>
        <v>190.5</v>
      </c>
      <c r="O656" s="2" t="b">
        <v>0</v>
      </c>
      <c r="P656" s="2" t="str">
        <f t="shared" si="21"/>
        <v/>
      </c>
    </row>
    <row r="657" spans="1:16" x14ac:dyDescent="0.35">
      <c r="A657" s="2" t="s">
        <v>1331</v>
      </c>
      <c r="B657" s="2" t="s">
        <v>1332</v>
      </c>
      <c r="C657" s="3">
        <v>45508</v>
      </c>
      <c r="D657" s="2" t="s">
        <v>20</v>
      </c>
      <c r="E657" s="2" t="s">
        <v>24</v>
      </c>
      <c r="G657" s="2">
        <v>84.84</v>
      </c>
      <c r="I657" s="2" t="s">
        <v>38</v>
      </c>
      <c r="J657" s="2" t="str">
        <f t="shared" si="20"/>
        <v>Aug</v>
      </c>
      <c r="K65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7" s="2" t="b">
        <v>1</v>
      </c>
      <c r="P657" s="2" t="str">
        <f t="shared" si="21"/>
        <v/>
      </c>
    </row>
    <row r="658" spans="1:16" x14ac:dyDescent="0.35">
      <c r="A658" s="2" t="s">
        <v>1333</v>
      </c>
      <c r="B658" s="2" t="s">
        <v>1334</v>
      </c>
      <c r="C658" s="3">
        <v>45080</v>
      </c>
      <c r="D658" s="2" t="s">
        <v>11</v>
      </c>
      <c r="E658" s="2" t="s">
        <v>28</v>
      </c>
      <c r="G658" s="2">
        <v>42.43</v>
      </c>
      <c r="I658" s="2" t="s">
        <v>31</v>
      </c>
      <c r="J658" s="2" t="str">
        <f t="shared" si="20"/>
        <v>Jun</v>
      </c>
      <c r="K65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58" s="2" t="b">
        <v>1</v>
      </c>
      <c r="P658" s="2">
        <f t="shared" si="21"/>
        <v>1017.36</v>
      </c>
    </row>
    <row r="659" spans="1:16" x14ac:dyDescent="0.35">
      <c r="A659" s="2" t="s">
        <v>1335</v>
      </c>
      <c r="B659" s="2" t="s">
        <v>1336</v>
      </c>
      <c r="C659" s="3">
        <v>45339</v>
      </c>
      <c r="D659" s="2" t="s">
        <v>27</v>
      </c>
      <c r="E659" s="2" t="s">
        <v>24</v>
      </c>
      <c r="F659" s="2">
        <v>6</v>
      </c>
      <c r="G659" s="2">
        <v>169.56</v>
      </c>
      <c r="H659" s="2">
        <v>1017.36</v>
      </c>
      <c r="I659" s="2" t="s">
        <v>13</v>
      </c>
      <c r="J659" s="2" t="str">
        <f t="shared" si="20"/>
        <v>Feb</v>
      </c>
      <c r="K659" s="4">
        <f>IF(AND(ISNUMBER(Lab2_Dataset[[#This Row],[Revenue]]), ISNUMBER(Lab2_Dataset[[#This Row],[Quantity]]), Lab2_Dataset[[#This Row],[Quantity]]&lt;&gt;0), Lab2_Dataset[[#This Row],[Revenue]]/Lab2_Dataset[[#This Row],[Quantity]], "")</f>
        <v>169.56</v>
      </c>
      <c r="O659" s="2" t="b">
        <v>0</v>
      </c>
      <c r="P659" s="2" t="str">
        <f t="shared" si="21"/>
        <v/>
      </c>
    </row>
    <row r="660" spans="1:16" x14ac:dyDescent="0.35">
      <c r="A660" s="2" t="s">
        <v>1337</v>
      </c>
      <c r="B660" s="2" t="s">
        <v>1338</v>
      </c>
      <c r="C660" s="3">
        <v>45523</v>
      </c>
      <c r="D660" s="2" t="s">
        <v>11</v>
      </c>
      <c r="E660" s="2" t="s">
        <v>24</v>
      </c>
      <c r="G660" s="2">
        <v>46.65</v>
      </c>
      <c r="I660" s="2" t="s">
        <v>21</v>
      </c>
      <c r="J660" s="2" t="str">
        <f t="shared" si="20"/>
        <v>Aug</v>
      </c>
      <c r="K66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0" s="2" t="b">
        <v>1</v>
      </c>
      <c r="P660" s="2" t="str">
        <f t="shared" si="21"/>
        <v/>
      </c>
    </row>
    <row r="661" spans="1:16" x14ac:dyDescent="0.35">
      <c r="A661" s="2" t="s">
        <v>1339</v>
      </c>
      <c r="B661" s="2" t="s">
        <v>1340</v>
      </c>
      <c r="C661" s="3">
        <v>45420</v>
      </c>
      <c r="D661" s="2" t="s">
        <v>27</v>
      </c>
      <c r="E661" s="2" t="s">
        <v>28</v>
      </c>
      <c r="G661" s="2">
        <v>115.72</v>
      </c>
      <c r="I661" s="2" t="s">
        <v>21</v>
      </c>
      <c r="J661" s="2" t="str">
        <f t="shared" si="20"/>
        <v>May</v>
      </c>
      <c r="K66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1" s="2" t="b">
        <v>1</v>
      </c>
      <c r="P661" s="2">
        <f t="shared" si="21"/>
        <v>920.64</v>
      </c>
    </row>
    <row r="662" spans="1:16" x14ac:dyDescent="0.35">
      <c r="A662" s="2" t="s">
        <v>1341</v>
      </c>
      <c r="B662" s="2" t="s">
        <v>1342</v>
      </c>
      <c r="C662" s="3">
        <v>45349</v>
      </c>
      <c r="D662" s="2" t="s">
        <v>69</v>
      </c>
      <c r="E662" s="2" t="s">
        <v>16</v>
      </c>
      <c r="F662" s="2">
        <v>8</v>
      </c>
      <c r="G662" s="2">
        <v>115.08</v>
      </c>
      <c r="H662" s="2">
        <v>920.64</v>
      </c>
      <c r="I662" s="2" t="s">
        <v>13</v>
      </c>
      <c r="J662" s="2" t="str">
        <f t="shared" si="20"/>
        <v>Feb</v>
      </c>
      <c r="K662" s="4">
        <f>IF(AND(ISNUMBER(Lab2_Dataset[[#This Row],[Revenue]]), ISNUMBER(Lab2_Dataset[[#This Row],[Quantity]]), Lab2_Dataset[[#This Row],[Quantity]]&lt;&gt;0), Lab2_Dataset[[#This Row],[Revenue]]/Lab2_Dataset[[#This Row],[Quantity]], "")</f>
        <v>115.08</v>
      </c>
      <c r="O662" s="2" t="b">
        <v>0</v>
      </c>
      <c r="P662" s="2" t="str">
        <f t="shared" si="21"/>
        <v/>
      </c>
    </row>
    <row r="663" spans="1:16" x14ac:dyDescent="0.35">
      <c r="A663" s="2" t="s">
        <v>1343</v>
      </c>
      <c r="B663" s="2" t="s">
        <v>1344</v>
      </c>
      <c r="C663" s="3">
        <v>45614</v>
      </c>
      <c r="D663" s="2" t="s">
        <v>34</v>
      </c>
      <c r="E663" s="2" t="s">
        <v>47</v>
      </c>
      <c r="G663" s="2">
        <v>99.78</v>
      </c>
      <c r="I663" s="2" t="s">
        <v>13</v>
      </c>
      <c r="J663" s="2" t="str">
        <f t="shared" si="20"/>
        <v>Nov</v>
      </c>
      <c r="K6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3" s="2" t="b">
        <v>1</v>
      </c>
      <c r="P663" s="2" t="str">
        <f t="shared" si="21"/>
        <v/>
      </c>
    </row>
    <row r="664" spans="1:16" x14ac:dyDescent="0.35">
      <c r="A664" s="2" t="s">
        <v>1345</v>
      </c>
      <c r="B664" s="2" t="s">
        <v>1346</v>
      </c>
      <c r="C664" s="3">
        <v>45504</v>
      </c>
      <c r="D664" s="2" t="s">
        <v>11</v>
      </c>
      <c r="E664" s="2" t="s">
        <v>12</v>
      </c>
      <c r="G664" s="2">
        <v>184.17</v>
      </c>
      <c r="I664" s="2" t="s">
        <v>31</v>
      </c>
      <c r="J664" s="2" t="str">
        <f t="shared" si="20"/>
        <v>Jul</v>
      </c>
      <c r="K6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4" s="2" t="b">
        <v>1</v>
      </c>
      <c r="P664" s="2" t="str">
        <f t="shared" si="21"/>
        <v/>
      </c>
    </row>
    <row r="665" spans="1:16" x14ac:dyDescent="0.35">
      <c r="A665" s="2" t="s">
        <v>1347</v>
      </c>
      <c r="B665" s="2" t="s">
        <v>1348</v>
      </c>
      <c r="C665" s="3">
        <v>45673</v>
      </c>
      <c r="D665" s="2" t="s">
        <v>69</v>
      </c>
      <c r="E665" s="2" t="s">
        <v>28</v>
      </c>
      <c r="G665" s="2">
        <v>107.92</v>
      </c>
      <c r="I665" s="2" t="s">
        <v>13</v>
      </c>
      <c r="J665" s="2" t="str">
        <f t="shared" si="20"/>
        <v>Jan</v>
      </c>
      <c r="K6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5" s="2" t="b">
        <v>1</v>
      </c>
      <c r="P665" s="2" t="str">
        <f t="shared" si="21"/>
        <v/>
      </c>
    </row>
    <row r="666" spans="1:16" x14ac:dyDescent="0.35">
      <c r="A666" s="2" t="s">
        <v>1349</v>
      </c>
      <c r="B666" s="2" t="s">
        <v>1190</v>
      </c>
      <c r="C666" s="3">
        <v>45102</v>
      </c>
      <c r="D666" s="2" t="s">
        <v>27</v>
      </c>
      <c r="E666" s="2" t="s">
        <v>16</v>
      </c>
      <c r="G666" s="2">
        <v>75.59</v>
      </c>
      <c r="I666" s="2" t="s">
        <v>52</v>
      </c>
      <c r="J666" s="2" t="str">
        <f t="shared" si="20"/>
        <v>Jun</v>
      </c>
      <c r="K6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6" s="2" t="b">
        <v>1</v>
      </c>
      <c r="P666" s="2">
        <f t="shared" si="21"/>
        <v>561.78</v>
      </c>
    </row>
    <row r="667" spans="1:16" x14ac:dyDescent="0.35">
      <c r="A667" s="2" t="s">
        <v>1350</v>
      </c>
      <c r="B667" s="2" t="s">
        <v>1351</v>
      </c>
      <c r="C667" s="3">
        <v>45772</v>
      </c>
      <c r="D667" s="2" t="s">
        <v>34</v>
      </c>
      <c r="E667" s="2" t="s">
        <v>16</v>
      </c>
      <c r="F667" s="2">
        <v>3</v>
      </c>
      <c r="G667" s="2">
        <v>187.26</v>
      </c>
      <c r="H667" s="2">
        <v>561.78</v>
      </c>
      <c r="I667" s="2" t="s">
        <v>21</v>
      </c>
      <c r="J667" s="2" t="str">
        <f t="shared" si="20"/>
        <v>Apr</v>
      </c>
      <c r="K667" s="4">
        <f>IF(AND(ISNUMBER(Lab2_Dataset[[#This Row],[Revenue]]), ISNUMBER(Lab2_Dataset[[#This Row],[Quantity]]), Lab2_Dataset[[#This Row],[Quantity]]&lt;&gt;0), Lab2_Dataset[[#This Row],[Revenue]]/Lab2_Dataset[[#This Row],[Quantity]], "")</f>
        <v>187.26</v>
      </c>
      <c r="O667" s="2" t="b">
        <v>0</v>
      </c>
      <c r="P667" s="2" t="str">
        <f t="shared" si="21"/>
        <v/>
      </c>
    </row>
    <row r="668" spans="1:16" x14ac:dyDescent="0.35">
      <c r="A668" s="2" t="s">
        <v>1352</v>
      </c>
      <c r="B668" s="2" t="s">
        <v>1353</v>
      </c>
      <c r="C668" s="3">
        <v>45708</v>
      </c>
      <c r="D668" s="2" t="s">
        <v>27</v>
      </c>
      <c r="E668" s="2" t="s">
        <v>28</v>
      </c>
      <c r="G668" s="2">
        <v>48.57</v>
      </c>
      <c r="I668" s="2" t="s">
        <v>21</v>
      </c>
      <c r="J668" s="2" t="str">
        <f t="shared" si="20"/>
        <v>Feb</v>
      </c>
      <c r="K66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8" s="2" t="b">
        <v>1</v>
      </c>
      <c r="P668" s="2" t="str">
        <f t="shared" si="21"/>
        <v/>
      </c>
    </row>
    <row r="669" spans="1:16" x14ac:dyDescent="0.35">
      <c r="A669" s="2" t="s">
        <v>1354</v>
      </c>
      <c r="B669" s="2" t="s">
        <v>1355</v>
      </c>
      <c r="C669" s="3">
        <v>45571</v>
      </c>
      <c r="D669" s="2" t="s">
        <v>11</v>
      </c>
      <c r="E669" s="2" t="s">
        <v>47</v>
      </c>
      <c r="G669" s="2">
        <v>151.05000000000001</v>
      </c>
      <c r="I669" s="2" t="s">
        <v>38</v>
      </c>
      <c r="J669" s="2" t="str">
        <f t="shared" si="20"/>
        <v>Oct</v>
      </c>
      <c r="K6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69" s="2" t="b">
        <v>1</v>
      </c>
      <c r="P669" s="2">
        <f t="shared" si="21"/>
        <v>356.43</v>
      </c>
    </row>
    <row r="670" spans="1:16" x14ac:dyDescent="0.35">
      <c r="A670" s="2" t="s">
        <v>1356</v>
      </c>
      <c r="B670" s="2" t="s">
        <v>1357</v>
      </c>
      <c r="C670" s="3">
        <v>45632</v>
      </c>
      <c r="D670" s="2" t="s">
        <v>37</v>
      </c>
      <c r="E670" s="2" t="s">
        <v>24</v>
      </c>
      <c r="F670" s="2">
        <v>3</v>
      </c>
      <c r="G670" s="2">
        <v>118.81</v>
      </c>
      <c r="H670" s="2">
        <v>356.43</v>
      </c>
      <c r="I670" s="2" t="s">
        <v>52</v>
      </c>
      <c r="J670" s="2" t="str">
        <f t="shared" si="20"/>
        <v>Dec</v>
      </c>
      <c r="K670" s="4">
        <f>IF(AND(ISNUMBER(Lab2_Dataset[[#This Row],[Revenue]]), ISNUMBER(Lab2_Dataset[[#This Row],[Quantity]]), Lab2_Dataset[[#This Row],[Quantity]]&lt;&gt;0), Lab2_Dataset[[#This Row],[Revenue]]/Lab2_Dataset[[#This Row],[Quantity]], "")</f>
        <v>118.81</v>
      </c>
      <c r="O670" s="2" t="b">
        <v>0</v>
      </c>
      <c r="P670" s="2">
        <f t="shared" si="21"/>
        <v>176.70000000000002</v>
      </c>
    </row>
    <row r="671" spans="1:16" x14ac:dyDescent="0.35">
      <c r="A671" s="2" t="s">
        <v>1358</v>
      </c>
      <c r="B671" s="2" t="s">
        <v>1359</v>
      </c>
      <c r="C671" s="3">
        <v>45568</v>
      </c>
      <c r="D671" s="2" t="s">
        <v>11</v>
      </c>
      <c r="E671" s="2" t="s">
        <v>12</v>
      </c>
      <c r="F671" s="2">
        <v>5</v>
      </c>
      <c r="G671" s="2">
        <v>35.340000000000003</v>
      </c>
      <c r="H671" s="2">
        <v>176.7</v>
      </c>
      <c r="I671" s="2" t="s">
        <v>17</v>
      </c>
      <c r="J671" s="2" t="str">
        <f t="shared" si="20"/>
        <v>Oct</v>
      </c>
      <c r="K671" s="4">
        <f>IF(AND(ISNUMBER(Lab2_Dataset[[#This Row],[Revenue]]), ISNUMBER(Lab2_Dataset[[#This Row],[Quantity]]), Lab2_Dataset[[#This Row],[Quantity]]&lt;&gt;0), Lab2_Dataset[[#This Row],[Revenue]]/Lab2_Dataset[[#This Row],[Quantity]], "")</f>
        <v>35.339999999999996</v>
      </c>
      <c r="O671" s="2" t="b">
        <v>0</v>
      </c>
      <c r="P671" s="2" t="str">
        <f t="shared" si="21"/>
        <v/>
      </c>
    </row>
    <row r="672" spans="1:16" x14ac:dyDescent="0.35">
      <c r="A672" s="2" t="s">
        <v>1360</v>
      </c>
      <c r="B672" s="2" t="s">
        <v>1361</v>
      </c>
      <c r="C672" s="3">
        <v>45286</v>
      </c>
      <c r="D672" s="2" t="s">
        <v>27</v>
      </c>
      <c r="E672" s="2" t="s">
        <v>24</v>
      </c>
      <c r="G672" s="2">
        <v>62.06</v>
      </c>
      <c r="I672" s="2" t="s">
        <v>17</v>
      </c>
      <c r="J672" s="2" t="str">
        <f t="shared" si="20"/>
        <v>Dec</v>
      </c>
      <c r="K6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72" s="2" t="b">
        <v>1</v>
      </c>
      <c r="P672" s="2">
        <f t="shared" si="21"/>
        <v>154.34</v>
      </c>
    </row>
    <row r="673" spans="1:16" x14ac:dyDescent="0.35">
      <c r="A673" s="2" t="s">
        <v>1362</v>
      </c>
      <c r="B673" s="2" t="s">
        <v>1363</v>
      </c>
      <c r="C673" s="3">
        <v>45524</v>
      </c>
      <c r="D673" s="2" t="s">
        <v>27</v>
      </c>
      <c r="E673" s="2" t="s">
        <v>47</v>
      </c>
      <c r="F673" s="2">
        <v>2</v>
      </c>
      <c r="G673" s="2">
        <v>77.17</v>
      </c>
      <c r="H673" s="2">
        <v>154.34</v>
      </c>
      <c r="I673" s="2" t="s">
        <v>17</v>
      </c>
      <c r="J673" s="2" t="str">
        <f t="shared" si="20"/>
        <v>Aug</v>
      </c>
      <c r="K673" s="4">
        <f>IF(AND(ISNUMBER(Lab2_Dataset[[#This Row],[Revenue]]), ISNUMBER(Lab2_Dataset[[#This Row],[Quantity]]), Lab2_Dataset[[#This Row],[Quantity]]&lt;&gt;0), Lab2_Dataset[[#This Row],[Revenue]]/Lab2_Dataset[[#This Row],[Quantity]], "")</f>
        <v>77.17</v>
      </c>
      <c r="O673" s="2" t="b">
        <v>0</v>
      </c>
      <c r="P673" s="2" t="str">
        <f t="shared" si="21"/>
        <v/>
      </c>
    </row>
    <row r="674" spans="1:16" x14ac:dyDescent="0.35">
      <c r="A674" s="2" t="s">
        <v>1364</v>
      </c>
      <c r="B674" s="2" t="s">
        <v>1365</v>
      </c>
      <c r="C674" s="3">
        <v>45382</v>
      </c>
      <c r="D674" s="2" t="s">
        <v>11</v>
      </c>
      <c r="E674" s="2" t="s">
        <v>28</v>
      </c>
      <c r="G674" s="2">
        <v>170.17</v>
      </c>
      <c r="I674" s="2" t="s">
        <v>38</v>
      </c>
      <c r="J674" s="2" t="str">
        <f t="shared" si="20"/>
        <v>Mar</v>
      </c>
      <c r="K67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74" s="2" t="b">
        <v>1</v>
      </c>
      <c r="P674" s="2" t="str">
        <f t="shared" si="21"/>
        <v/>
      </c>
    </row>
    <row r="675" spans="1:16" x14ac:dyDescent="0.35">
      <c r="A675" s="2" t="s">
        <v>1366</v>
      </c>
      <c r="B675" s="2" t="s">
        <v>1367</v>
      </c>
      <c r="C675" s="3">
        <v>45158</v>
      </c>
      <c r="D675" s="2" t="s">
        <v>27</v>
      </c>
      <c r="E675" s="2" t="s">
        <v>12</v>
      </c>
      <c r="G675" s="2">
        <v>68.709999999999994</v>
      </c>
      <c r="I675" s="2" t="s">
        <v>17</v>
      </c>
      <c r="J675" s="2" t="str">
        <f t="shared" si="20"/>
        <v>Aug</v>
      </c>
      <c r="K67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75" s="2" t="b">
        <v>1</v>
      </c>
      <c r="P675" s="2" t="str">
        <f t="shared" si="21"/>
        <v/>
      </c>
    </row>
    <row r="676" spans="1:16" x14ac:dyDescent="0.35">
      <c r="A676" s="2" t="s">
        <v>1368</v>
      </c>
      <c r="B676" s="2" t="s">
        <v>1369</v>
      </c>
      <c r="C676" s="3">
        <v>45534</v>
      </c>
      <c r="D676" s="2" t="s">
        <v>11</v>
      </c>
      <c r="E676" s="2" t="s">
        <v>28</v>
      </c>
      <c r="G676" s="2">
        <v>167.9</v>
      </c>
      <c r="I676" s="2" t="s">
        <v>17</v>
      </c>
      <c r="J676" s="2" t="str">
        <f t="shared" si="20"/>
        <v>Aug</v>
      </c>
      <c r="K67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76" s="2" t="b">
        <v>1</v>
      </c>
      <c r="P676" s="2">
        <f t="shared" si="21"/>
        <v>177.85</v>
      </c>
    </row>
    <row r="677" spans="1:16" x14ac:dyDescent="0.35">
      <c r="A677" s="2" t="s">
        <v>1370</v>
      </c>
      <c r="B677" s="2" t="s">
        <v>1371</v>
      </c>
      <c r="C677" s="3">
        <v>45276</v>
      </c>
      <c r="D677" s="2" t="s">
        <v>34</v>
      </c>
      <c r="E677" s="2" t="s">
        <v>16</v>
      </c>
      <c r="F677" s="2">
        <v>1</v>
      </c>
      <c r="G677" s="2">
        <v>177.85</v>
      </c>
      <c r="H677" s="2">
        <v>177.85</v>
      </c>
      <c r="I677" s="2" t="s">
        <v>31</v>
      </c>
      <c r="J677" s="2" t="str">
        <f t="shared" si="20"/>
        <v>Dec</v>
      </c>
      <c r="K677" s="4">
        <f>IF(AND(ISNUMBER(Lab2_Dataset[[#This Row],[Revenue]]), ISNUMBER(Lab2_Dataset[[#This Row],[Quantity]]), Lab2_Dataset[[#This Row],[Quantity]]&lt;&gt;0), Lab2_Dataset[[#This Row],[Revenue]]/Lab2_Dataset[[#This Row],[Quantity]], "")</f>
        <v>177.85</v>
      </c>
      <c r="O677" s="2" t="b">
        <v>0</v>
      </c>
      <c r="P677" s="2" t="str">
        <f t="shared" si="21"/>
        <v/>
      </c>
    </row>
    <row r="678" spans="1:16" x14ac:dyDescent="0.35">
      <c r="A678" s="2" t="s">
        <v>1372</v>
      </c>
      <c r="B678" s="2" t="s">
        <v>1373</v>
      </c>
      <c r="C678" s="3">
        <v>45295</v>
      </c>
      <c r="D678" s="2" t="s">
        <v>69</v>
      </c>
      <c r="E678" s="2" t="s">
        <v>28</v>
      </c>
      <c r="G678" s="2">
        <v>81.900000000000006</v>
      </c>
      <c r="I678" s="2" t="s">
        <v>31</v>
      </c>
      <c r="J678" s="2" t="str">
        <f t="shared" si="20"/>
        <v>Jan</v>
      </c>
      <c r="K67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78" s="2" t="b">
        <v>1</v>
      </c>
      <c r="P678" s="2">
        <f t="shared" si="21"/>
        <v>1539.8999999999999</v>
      </c>
    </row>
    <row r="679" spans="1:16" x14ac:dyDescent="0.35">
      <c r="A679" s="2" t="s">
        <v>1374</v>
      </c>
      <c r="B679" s="2" t="s">
        <v>1375</v>
      </c>
      <c r="C679" s="3">
        <v>45649</v>
      </c>
      <c r="D679" s="2" t="s">
        <v>69</v>
      </c>
      <c r="E679" s="2" t="s">
        <v>12</v>
      </c>
      <c r="F679" s="2">
        <v>9</v>
      </c>
      <c r="G679" s="2">
        <v>171.1</v>
      </c>
      <c r="H679" s="2">
        <v>1539.9</v>
      </c>
      <c r="I679" s="2" t="s">
        <v>52</v>
      </c>
      <c r="J679" s="2" t="str">
        <f t="shared" si="20"/>
        <v>Dec</v>
      </c>
      <c r="K679" s="4">
        <f>IF(AND(ISNUMBER(Lab2_Dataset[[#This Row],[Revenue]]), ISNUMBER(Lab2_Dataset[[#This Row],[Quantity]]), Lab2_Dataset[[#This Row],[Quantity]]&lt;&gt;0), Lab2_Dataset[[#This Row],[Revenue]]/Lab2_Dataset[[#This Row],[Quantity]], "")</f>
        <v>171.10000000000002</v>
      </c>
      <c r="O679" s="2" t="b">
        <v>0</v>
      </c>
      <c r="P679" s="2" t="str">
        <f t="shared" si="21"/>
        <v/>
      </c>
    </row>
    <row r="680" spans="1:16" x14ac:dyDescent="0.35">
      <c r="A680" s="2" t="s">
        <v>1376</v>
      </c>
      <c r="B680" s="2" t="s">
        <v>1377</v>
      </c>
      <c r="C680" s="3">
        <v>45398</v>
      </c>
      <c r="D680" s="2" t="s">
        <v>11</v>
      </c>
      <c r="E680" s="2" t="s">
        <v>24</v>
      </c>
      <c r="G680" s="2">
        <v>62.35</v>
      </c>
      <c r="I680" s="2" t="s">
        <v>21</v>
      </c>
      <c r="J680" s="2" t="str">
        <f t="shared" si="20"/>
        <v>Apr</v>
      </c>
      <c r="K68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80" s="2" t="b">
        <v>1</v>
      </c>
      <c r="P680" s="2">
        <f t="shared" si="21"/>
        <v>47.19</v>
      </c>
    </row>
    <row r="681" spans="1:16" x14ac:dyDescent="0.35">
      <c r="A681" s="2" t="s">
        <v>1378</v>
      </c>
      <c r="B681" s="2" t="s">
        <v>1379</v>
      </c>
      <c r="C681" s="3">
        <v>45398</v>
      </c>
      <c r="D681" s="2" t="s">
        <v>69</v>
      </c>
      <c r="E681" s="2" t="s">
        <v>16</v>
      </c>
      <c r="F681" s="2">
        <v>1</v>
      </c>
      <c r="G681" s="2">
        <v>47.19</v>
      </c>
      <c r="H681" s="2">
        <v>47.19</v>
      </c>
      <c r="I681" s="2" t="s">
        <v>38</v>
      </c>
      <c r="J681" s="2" t="str">
        <f t="shared" si="20"/>
        <v>Apr</v>
      </c>
      <c r="K681" s="4">
        <f>IF(AND(ISNUMBER(Lab2_Dataset[[#This Row],[Revenue]]), ISNUMBER(Lab2_Dataset[[#This Row],[Quantity]]), Lab2_Dataset[[#This Row],[Quantity]]&lt;&gt;0), Lab2_Dataset[[#This Row],[Revenue]]/Lab2_Dataset[[#This Row],[Quantity]], "")</f>
        <v>47.19</v>
      </c>
      <c r="O681" s="2" t="b">
        <v>0</v>
      </c>
      <c r="P681" s="2">
        <f t="shared" si="21"/>
        <v>716.4</v>
      </c>
    </row>
    <row r="682" spans="1:16" x14ac:dyDescent="0.35">
      <c r="A682" s="2" t="s">
        <v>1380</v>
      </c>
      <c r="B682" s="2" t="s">
        <v>1381</v>
      </c>
      <c r="C682" s="3">
        <v>45277</v>
      </c>
      <c r="D682" s="2" t="s">
        <v>11</v>
      </c>
      <c r="E682" s="2" t="s">
        <v>47</v>
      </c>
      <c r="F682" s="2">
        <v>9</v>
      </c>
      <c r="G682" s="2">
        <v>79.599999999999994</v>
      </c>
      <c r="H682" s="2">
        <v>716.4</v>
      </c>
      <c r="I682" s="2" t="s">
        <v>38</v>
      </c>
      <c r="J682" s="2" t="str">
        <f t="shared" si="20"/>
        <v>Dec</v>
      </c>
      <c r="K682" s="4">
        <f>IF(AND(ISNUMBER(Lab2_Dataset[[#This Row],[Revenue]]), ISNUMBER(Lab2_Dataset[[#This Row],[Quantity]]), Lab2_Dataset[[#This Row],[Quantity]]&lt;&gt;0), Lab2_Dataset[[#This Row],[Revenue]]/Lab2_Dataset[[#This Row],[Quantity]], "")</f>
        <v>79.599999999999994</v>
      </c>
      <c r="O682" s="2" t="b">
        <v>0</v>
      </c>
      <c r="P682" s="2">
        <f t="shared" si="21"/>
        <v>726.21</v>
      </c>
    </row>
    <row r="683" spans="1:16" x14ac:dyDescent="0.35">
      <c r="A683" s="2" t="s">
        <v>1382</v>
      </c>
      <c r="B683" s="2" t="s">
        <v>1383</v>
      </c>
      <c r="C683" s="3">
        <v>45437</v>
      </c>
      <c r="D683" s="2" t="s">
        <v>11</v>
      </c>
      <c r="E683" s="2" t="s">
        <v>28</v>
      </c>
      <c r="F683" s="2">
        <v>9</v>
      </c>
      <c r="G683" s="2">
        <v>80.69</v>
      </c>
      <c r="H683" s="2">
        <v>726.21</v>
      </c>
      <c r="I683" s="2" t="s">
        <v>38</v>
      </c>
      <c r="J683" s="2" t="str">
        <f t="shared" si="20"/>
        <v>May</v>
      </c>
      <c r="K683" s="4">
        <f>IF(AND(ISNUMBER(Lab2_Dataset[[#This Row],[Revenue]]), ISNUMBER(Lab2_Dataset[[#This Row],[Quantity]]), Lab2_Dataset[[#This Row],[Quantity]]&lt;&gt;0), Lab2_Dataset[[#This Row],[Revenue]]/Lab2_Dataset[[#This Row],[Quantity]], "")</f>
        <v>80.69</v>
      </c>
      <c r="O683" s="2" t="b">
        <v>0</v>
      </c>
      <c r="P683" s="2">
        <f t="shared" si="21"/>
        <v>1046.52</v>
      </c>
    </row>
    <row r="684" spans="1:16" x14ac:dyDescent="0.35">
      <c r="A684" s="2" t="s">
        <v>1384</v>
      </c>
      <c r="B684" s="2" t="s">
        <v>1385</v>
      </c>
      <c r="C684" s="3">
        <v>45544</v>
      </c>
      <c r="D684" s="2" t="s">
        <v>69</v>
      </c>
      <c r="E684" s="2" t="s">
        <v>24</v>
      </c>
      <c r="F684" s="2">
        <v>9</v>
      </c>
      <c r="G684" s="2">
        <v>116.28</v>
      </c>
      <c r="H684" s="2">
        <v>1046.52</v>
      </c>
      <c r="I684" s="2" t="s">
        <v>17</v>
      </c>
      <c r="J684" s="2" t="str">
        <f t="shared" si="20"/>
        <v>Sep</v>
      </c>
      <c r="K684" s="4">
        <f>IF(AND(ISNUMBER(Lab2_Dataset[[#This Row],[Revenue]]), ISNUMBER(Lab2_Dataset[[#This Row],[Quantity]]), Lab2_Dataset[[#This Row],[Quantity]]&lt;&gt;0), Lab2_Dataset[[#This Row],[Revenue]]/Lab2_Dataset[[#This Row],[Quantity]], "")</f>
        <v>116.28</v>
      </c>
      <c r="O684" s="2" t="b">
        <v>0</v>
      </c>
      <c r="P684" s="2">
        <f t="shared" si="21"/>
        <v>603.78</v>
      </c>
    </row>
    <row r="685" spans="1:16" x14ac:dyDescent="0.35">
      <c r="A685" s="2" t="s">
        <v>1386</v>
      </c>
      <c r="B685" s="2" t="s">
        <v>1387</v>
      </c>
      <c r="C685" s="3">
        <v>45191</v>
      </c>
      <c r="D685" s="2" t="s">
        <v>27</v>
      </c>
      <c r="E685" s="2" t="s">
        <v>47</v>
      </c>
      <c r="F685" s="2">
        <v>6</v>
      </c>
      <c r="G685" s="2">
        <v>100.63</v>
      </c>
      <c r="H685" s="2">
        <v>603.78</v>
      </c>
      <c r="I685" s="2" t="s">
        <v>17</v>
      </c>
      <c r="J685" s="2" t="str">
        <f t="shared" si="20"/>
        <v>Sep</v>
      </c>
      <c r="K685" s="4">
        <f>IF(AND(ISNUMBER(Lab2_Dataset[[#This Row],[Revenue]]), ISNUMBER(Lab2_Dataset[[#This Row],[Quantity]]), Lab2_Dataset[[#This Row],[Quantity]]&lt;&gt;0), Lab2_Dataset[[#This Row],[Revenue]]/Lab2_Dataset[[#This Row],[Quantity]], "")</f>
        <v>100.63</v>
      </c>
      <c r="O685" s="2" t="b">
        <v>0</v>
      </c>
      <c r="P685" s="2" t="str">
        <f t="shared" si="21"/>
        <v/>
      </c>
    </row>
    <row r="686" spans="1:16" x14ac:dyDescent="0.35">
      <c r="A686" s="2" t="s">
        <v>1388</v>
      </c>
      <c r="B686" s="2" t="s">
        <v>1389</v>
      </c>
      <c r="C686" s="3">
        <v>45523</v>
      </c>
      <c r="D686" s="2" t="s">
        <v>20</v>
      </c>
      <c r="E686" s="2" t="s">
        <v>16</v>
      </c>
      <c r="G686" s="2">
        <v>65.989999999999995</v>
      </c>
      <c r="I686" s="2" t="s">
        <v>31</v>
      </c>
      <c r="J686" s="2" t="str">
        <f t="shared" si="20"/>
        <v>Aug</v>
      </c>
      <c r="K6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86" s="2" t="b">
        <v>1</v>
      </c>
      <c r="P686" s="2">
        <f t="shared" si="21"/>
        <v>187.52</v>
      </c>
    </row>
    <row r="687" spans="1:16" x14ac:dyDescent="0.35">
      <c r="A687" s="2" t="s">
        <v>1390</v>
      </c>
      <c r="B687" s="2" t="s">
        <v>1391</v>
      </c>
      <c r="C687" s="3">
        <v>45160</v>
      </c>
      <c r="D687" s="2" t="s">
        <v>20</v>
      </c>
      <c r="E687" s="2" t="s">
        <v>16</v>
      </c>
      <c r="F687" s="2">
        <v>1</v>
      </c>
      <c r="G687" s="2">
        <v>187.52</v>
      </c>
      <c r="H687" s="2">
        <v>187.52</v>
      </c>
      <c r="I687" s="2" t="s">
        <v>17</v>
      </c>
      <c r="J687" s="2" t="str">
        <f t="shared" si="20"/>
        <v>Aug</v>
      </c>
      <c r="K687" s="4">
        <f>IF(AND(ISNUMBER(Lab2_Dataset[[#This Row],[Revenue]]), ISNUMBER(Lab2_Dataset[[#This Row],[Quantity]]), Lab2_Dataset[[#This Row],[Quantity]]&lt;&gt;0), Lab2_Dataset[[#This Row],[Revenue]]/Lab2_Dataset[[#This Row],[Quantity]], "")</f>
        <v>187.52</v>
      </c>
      <c r="O687" s="2" t="b">
        <v>0</v>
      </c>
      <c r="P687" s="2" t="str">
        <f t="shared" si="21"/>
        <v/>
      </c>
    </row>
    <row r="688" spans="1:16" x14ac:dyDescent="0.35">
      <c r="A688" s="2" t="s">
        <v>1392</v>
      </c>
      <c r="B688" s="2" t="s">
        <v>1393</v>
      </c>
      <c r="C688" s="3">
        <v>45267</v>
      </c>
      <c r="D688" s="2" t="s">
        <v>34</v>
      </c>
      <c r="E688" s="2" t="s">
        <v>24</v>
      </c>
      <c r="G688" s="2">
        <v>40.700000000000003</v>
      </c>
      <c r="I688" s="2" t="s">
        <v>21</v>
      </c>
      <c r="J688" s="2" t="str">
        <f t="shared" si="20"/>
        <v>Dec</v>
      </c>
      <c r="K6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88" s="2" t="b">
        <v>1</v>
      </c>
      <c r="P688" s="2" t="str">
        <f t="shared" si="21"/>
        <v/>
      </c>
    </row>
    <row r="689" spans="1:16" x14ac:dyDescent="0.35">
      <c r="A689" s="2" t="s">
        <v>1394</v>
      </c>
      <c r="B689" s="2" t="s">
        <v>1395</v>
      </c>
      <c r="C689" s="3">
        <v>45212</v>
      </c>
      <c r="D689" s="2" t="s">
        <v>69</v>
      </c>
      <c r="E689" s="2" t="s">
        <v>12</v>
      </c>
      <c r="G689" s="2">
        <v>85.84</v>
      </c>
      <c r="I689" s="2" t="s">
        <v>21</v>
      </c>
      <c r="J689" s="2" t="str">
        <f t="shared" si="20"/>
        <v>Oct</v>
      </c>
      <c r="K6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89" s="2" t="b">
        <v>1</v>
      </c>
      <c r="P689" s="2">
        <f t="shared" si="21"/>
        <v>333.52</v>
      </c>
    </row>
    <row r="690" spans="1:16" x14ac:dyDescent="0.35">
      <c r="A690" s="2" t="s">
        <v>1396</v>
      </c>
      <c r="B690" s="2" t="s">
        <v>1397</v>
      </c>
      <c r="C690" s="3">
        <v>45686</v>
      </c>
      <c r="D690" s="2" t="s">
        <v>37</v>
      </c>
      <c r="E690" s="2" t="s">
        <v>16</v>
      </c>
      <c r="F690" s="2">
        <v>8</v>
      </c>
      <c r="G690" s="2">
        <v>41.69</v>
      </c>
      <c r="I690" s="2" t="s">
        <v>52</v>
      </c>
      <c r="J690" s="2" t="str">
        <f t="shared" si="20"/>
        <v>Jan</v>
      </c>
      <c r="K6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0" s="2" t="b">
        <v>0</v>
      </c>
      <c r="P690" s="2" t="str">
        <f t="shared" si="21"/>
        <v/>
      </c>
    </row>
    <row r="691" spans="1:16" x14ac:dyDescent="0.35">
      <c r="A691" s="2" t="s">
        <v>1398</v>
      </c>
      <c r="B691" s="2" t="s">
        <v>1399</v>
      </c>
      <c r="C691" s="3">
        <v>45517</v>
      </c>
      <c r="D691" s="2" t="s">
        <v>11</v>
      </c>
      <c r="E691" s="2" t="s">
        <v>28</v>
      </c>
      <c r="G691" s="2">
        <v>143.57</v>
      </c>
      <c r="I691" s="2" t="s">
        <v>13</v>
      </c>
      <c r="J691" s="2" t="str">
        <f t="shared" si="20"/>
        <v>Aug</v>
      </c>
      <c r="K69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1" s="2" t="b">
        <v>1</v>
      </c>
      <c r="P691" s="2" t="str">
        <f t="shared" si="21"/>
        <v/>
      </c>
    </row>
    <row r="692" spans="1:16" x14ac:dyDescent="0.35">
      <c r="A692" s="2" t="s">
        <v>1400</v>
      </c>
      <c r="B692" s="2" t="s">
        <v>1401</v>
      </c>
      <c r="C692" s="3">
        <v>45466</v>
      </c>
      <c r="D692" s="2" t="s">
        <v>34</v>
      </c>
      <c r="E692" s="2" t="s">
        <v>28</v>
      </c>
      <c r="G692" s="2">
        <v>179.83</v>
      </c>
      <c r="I692" s="2" t="s">
        <v>52</v>
      </c>
      <c r="J692" s="2" t="str">
        <f t="shared" si="20"/>
        <v>Jun</v>
      </c>
      <c r="K6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2" s="2" t="b">
        <v>1</v>
      </c>
      <c r="P692" s="2" t="str">
        <f t="shared" si="21"/>
        <v/>
      </c>
    </row>
    <row r="693" spans="1:16" x14ac:dyDescent="0.35">
      <c r="A693" s="2" t="s">
        <v>1402</v>
      </c>
      <c r="B693" s="2" t="s">
        <v>1403</v>
      </c>
      <c r="C693" s="3">
        <v>45651</v>
      </c>
      <c r="D693" s="2" t="s">
        <v>20</v>
      </c>
      <c r="E693" s="2" t="s">
        <v>28</v>
      </c>
      <c r="G693" s="2">
        <v>198.43</v>
      </c>
      <c r="I693" s="2" t="s">
        <v>52</v>
      </c>
      <c r="J693" s="2" t="str">
        <f t="shared" si="20"/>
        <v>Dec</v>
      </c>
      <c r="K6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3" s="2" t="b">
        <v>1</v>
      </c>
      <c r="P693" s="2" t="str">
        <f t="shared" si="21"/>
        <v/>
      </c>
    </row>
    <row r="694" spans="1:16" x14ac:dyDescent="0.35">
      <c r="A694" s="2" t="s">
        <v>1404</v>
      </c>
      <c r="B694" s="2" t="s">
        <v>1405</v>
      </c>
      <c r="C694" s="3">
        <v>45710</v>
      </c>
      <c r="D694" s="2" t="s">
        <v>69</v>
      </c>
      <c r="E694" s="2" t="s">
        <v>28</v>
      </c>
      <c r="G694" s="2">
        <v>128.13</v>
      </c>
      <c r="I694" s="2" t="s">
        <v>31</v>
      </c>
      <c r="J694" s="2" t="str">
        <f t="shared" si="20"/>
        <v>Feb</v>
      </c>
      <c r="K6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4" s="2" t="b">
        <v>1</v>
      </c>
      <c r="P694" s="2">
        <f t="shared" si="21"/>
        <v>406.26</v>
      </c>
    </row>
    <row r="695" spans="1:16" x14ac:dyDescent="0.35">
      <c r="A695" s="2" t="s">
        <v>1406</v>
      </c>
      <c r="B695" s="2" t="s">
        <v>1407</v>
      </c>
      <c r="C695" s="3">
        <v>45102</v>
      </c>
      <c r="D695" s="2" t="s">
        <v>20</v>
      </c>
      <c r="E695" s="2" t="s">
        <v>47</v>
      </c>
      <c r="F695" s="2">
        <v>6</v>
      </c>
      <c r="G695" s="2">
        <v>67.709999999999994</v>
      </c>
      <c r="H695" s="2">
        <v>406.26</v>
      </c>
      <c r="I695" s="2" t="s">
        <v>17</v>
      </c>
      <c r="J695" s="2" t="str">
        <f t="shared" si="20"/>
        <v>Jun</v>
      </c>
      <c r="K695" s="4">
        <f>IF(AND(ISNUMBER(Lab2_Dataset[[#This Row],[Revenue]]), ISNUMBER(Lab2_Dataset[[#This Row],[Quantity]]), Lab2_Dataset[[#This Row],[Quantity]]&lt;&gt;0), Lab2_Dataset[[#This Row],[Revenue]]/Lab2_Dataset[[#This Row],[Quantity]], "")</f>
        <v>67.709999999999994</v>
      </c>
      <c r="O695" s="2" t="b">
        <v>0</v>
      </c>
      <c r="P695" s="2" t="str">
        <f t="shared" si="21"/>
        <v/>
      </c>
    </row>
    <row r="696" spans="1:16" x14ac:dyDescent="0.35">
      <c r="A696" s="2" t="s">
        <v>1408</v>
      </c>
      <c r="B696" s="2" t="s">
        <v>1409</v>
      </c>
      <c r="C696" s="3">
        <v>45385</v>
      </c>
      <c r="D696" s="2" t="s">
        <v>69</v>
      </c>
      <c r="E696" s="2" t="s">
        <v>47</v>
      </c>
      <c r="G696" s="2">
        <v>127.34</v>
      </c>
      <c r="I696" s="2" t="s">
        <v>52</v>
      </c>
      <c r="J696" s="2" t="str">
        <f t="shared" si="20"/>
        <v>Apr</v>
      </c>
      <c r="K6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6" s="2" t="b">
        <v>1</v>
      </c>
      <c r="P696" s="2" t="str">
        <f t="shared" si="21"/>
        <v/>
      </c>
    </row>
    <row r="697" spans="1:16" x14ac:dyDescent="0.35">
      <c r="A697" s="2" t="s">
        <v>1410</v>
      </c>
      <c r="B697" s="2" t="s">
        <v>1411</v>
      </c>
      <c r="C697" s="3">
        <v>45065</v>
      </c>
      <c r="D697" s="2" t="s">
        <v>69</v>
      </c>
      <c r="E697" s="2" t="s">
        <v>47</v>
      </c>
      <c r="G697" s="2">
        <v>171</v>
      </c>
      <c r="I697" s="2" t="s">
        <v>31</v>
      </c>
      <c r="J697" s="2" t="str">
        <f t="shared" si="20"/>
        <v>May</v>
      </c>
      <c r="K6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697" s="2" t="b">
        <v>1</v>
      </c>
      <c r="P697" s="2">
        <f t="shared" si="21"/>
        <v>34.74</v>
      </c>
    </row>
    <row r="698" spans="1:16" x14ac:dyDescent="0.35">
      <c r="A698" s="2" t="s">
        <v>1412</v>
      </c>
      <c r="B698" s="2" t="s">
        <v>1413</v>
      </c>
      <c r="C698" s="3">
        <v>45626</v>
      </c>
      <c r="D698" s="2" t="s">
        <v>27</v>
      </c>
      <c r="E698" s="2" t="s">
        <v>24</v>
      </c>
      <c r="F698" s="2">
        <v>2</v>
      </c>
      <c r="G698" s="2">
        <v>17.37</v>
      </c>
      <c r="H698" s="2">
        <v>34.74</v>
      </c>
      <c r="I698" s="2" t="s">
        <v>13</v>
      </c>
      <c r="J698" s="2" t="str">
        <f t="shared" si="20"/>
        <v>Nov</v>
      </c>
      <c r="K698" s="4">
        <f>IF(AND(ISNUMBER(Lab2_Dataset[[#This Row],[Revenue]]), ISNUMBER(Lab2_Dataset[[#This Row],[Quantity]]), Lab2_Dataset[[#This Row],[Quantity]]&lt;&gt;0), Lab2_Dataset[[#This Row],[Revenue]]/Lab2_Dataset[[#This Row],[Quantity]], "")</f>
        <v>17.37</v>
      </c>
      <c r="O698" s="2" t="b">
        <v>0</v>
      </c>
      <c r="P698" s="2">
        <f t="shared" si="21"/>
        <v>332.88</v>
      </c>
    </row>
    <row r="699" spans="1:16" x14ac:dyDescent="0.35">
      <c r="A699" s="2" t="s">
        <v>1414</v>
      </c>
      <c r="B699" s="2" t="s">
        <v>1415</v>
      </c>
      <c r="C699" s="3">
        <v>45250</v>
      </c>
      <c r="D699" s="2" t="s">
        <v>11</v>
      </c>
      <c r="E699" s="2" t="s">
        <v>12</v>
      </c>
      <c r="F699" s="2">
        <v>8</v>
      </c>
      <c r="G699" s="2">
        <v>41.61</v>
      </c>
      <c r="H699" s="2">
        <v>332.88</v>
      </c>
      <c r="I699" s="2" t="s">
        <v>17</v>
      </c>
      <c r="J699" s="2" t="str">
        <f t="shared" si="20"/>
        <v>Nov</v>
      </c>
      <c r="K699" s="4">
        <f>IF(AND(ISNUMBER(Lab2_Dataset[[#This Row],[Revenue]]), ISNUMBER(Lab2_Dataset[[#This Row],[Quantity]]), Lab2_Dataset[[#This Row],[Quantity]]&lt;&gt;0), Lab2_Dataset[[#This Row],[Revenue]]/Lab2_Dataset[[#This Row],[Quantity]], "")</f>
        <v>41.61</v>
      </c>
      <c r="O699" s="2" t="b">
        <v>0</v>
      </c>
      <c r="P699" s="2">
        <f t="shared" si="21"/>
        <v>292.79999999999995</v>
      </c>
    </row>
    <row r="700" spans="1:16" x14ac:dyDescent="0.35">
      <c r="A700" s="2" t="s">
        <v>1416</v>
      </c>
      <c r="B700" s="2" t="s">
        <v>1417</v>
      </c>
      <c r="C700" s="3">
        <v>45378</v>
      </c>
      <c r="D700" s="2" t="s">
        <v>11</v>
      </c>
      <c r="E700" s="2" t="s">
        <v>24</v>
      </c>
      <c r="F700" s="2">
        <v>3</v>
      </c>
      <c r="G700" s="2">
        <v>97.6</v>
      </c>
      <c r="H700" s="2">
        <v>292.8</v>
      </c>
      <c r="I700" s="2" t="s">
        <v>31</v>
      </c>
      <c r="J700" s="2" t="str">
        <f t="shared" si="20"/>
        <v>Mar</v>
      </c>
      <c r="K700" s="4">
        <f>IF(AND(ISNUMBER(Lab2_Dataset[[#This Row],[Revenue]]), ISNUMBER(Lab2_Dataset[[#This Row],[Quantity]]), Lab2_Dataset[[#This Row],[Quantity]]&lt;&gt;0), Lab2_Dataset[[#This Row],[Revenue]]/Lab2_Dataset[[#This Row],[Quantity]], "")</f>
        <v>97.600000000000009</v>
      </c>
      <c r="O700" s="2" t="b">
        <v>0</v>
      </c>
      <c r="P700" s="2">
        <f t="shared" si="21"/>
        <v>347.34</v>
      </c>
    </row>
    <row r="701" spans="1:16" x14ac:dyDescent="0.35">
      <c r="A701" s="2" t="s">
        <v>1418</v>
      </c>
      <c r="B701" s="2" t="s">
        <v>1419</v>
      </c>
      <c r="C701" s="3">
        <v>45266</v>
      </c>
      <c r="D701" s="2" t="s">
        <v>20</v>
      </c>
      <c r="E701" s="2" t="s">
        <v>47</v>
      </c>
      <c r="F701" s="2">
        <v>7</v>
      </c>
      <c r="G701" s="2">
        <v>49.62</v>
      </c>
      <c r="H701" s="2">
        <v>347.34</v>
      </c>
      <c r="I701" s="2" t="s">
        <v>13</v>
      </c>
      <c r="J701" s="2" t="str">
        <f t="shared" si="20"/>
        <v>Dec</v>
      </c>
      <c r="K701" s="4">
        <f>IF(AND(ISNUMBER(Lab2_Dataset[[#This Row],[Revenue]]), ISNUMBER(Lab2_Dataset[[#This Row],[Quantity]]), Lab2_Dataset[[#This Row],[Quantity]]&lt;&gt;0), Lab2_Dataset[[#This Row],[Revenue]]/Lab2_Dataset[[#This Row],[Quantity]], "")</f>
        <v>49.62</v>
      </c>
      <c r="O701" s="2" t="b">
        <v>0</v>
      </c>
      <c r="P701" s="2" t="str">
        <f t="shared" si="21"/>
        <v/>
      </c>
    </row>
    <row r="702" spans="1:16" x14ac:dyDescent="0.35">
      <c r="A702" s="2" t="s">
        <v>1420</v>
      </c>
      <c r="B702" s="2" t="s">
        <v>1421</v>
      </c>
      <c r="C702" s="3">
        <v>45652</v>
      </c>
      <c r="D702" s="2" t="s">
        <v>27</v>
      </c>
      <c r="E702" s="2" t="s">
        <v>47</v>
      </c>
      <c r="G702" s="2">
        <v>141.37</v>
      </c>
      <c r="I702" s="2" t="s">
        <v>17</v>
      </c>
      <c r="J702" s="2" t="str">
        <f t="shared" si="20"/>
        <v>Dec</v>
      </c>
      <c r="K70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02" s="2" t="b">
        <v>1</v>
      </c>
      <c r="P702" s="2">
        <f t="shared" si="21"/>
        <v>252.34999999999997</v>
      </c>
    </row>
    <row r="703" spans="1:16" x14ac:dyDescent="0.35">
      <c r="A703" s="2" t="s">
        <v>1422</v>
      </c>
      <c r="B703" s="2" t="s">
        <v>1423</v>
      </c>
      <c r="C703" s="3">
        <v>45541</v>
      </c>
      <c r="D703" s="2" t="s">
        <v>37</v>
      </c>
      <c r="E703" s="2" t="s">
        <v>47</v>
      </c>
      <c r="F703" s="2">
        <v>7</v>
      </c>
      <c r="G703" s="2">
        <v>36.049999999999997</v>
      </c>
      <c r="H703" s="2">
        <v>252.35</v>
      </c>
      <c r="I703" s="2" t="s">
        <v>38</v>
      </c>
      <c r="J703" s="2" t="str">
        <f t="shared" si="20"/>
        <v>Sep</v>
      </c>
      <c r="K703" s="4">
        <f>IF(AND(ISNUMBER(Lab2_Dataset[[#This Row],[Revenue]]), ISNUMBER(Lab2_Dataset[[#This Row],[Quantity]]), Lab2_Dataset[[#This Row],[Quantity]]&lt;&gt;0), Lab2_Dataset[[#This Row],[Revenue]]/Lab2_Dataset[[#This Row],[Quantity]], "")</f>
        <v>36.049999999999997</v>
      </c>
      <c r="O703" s="2" t="b">
        <v>0</v>
      </c>
      <c r="P703" s="2">
        <f t="shared" si="21"/>
        <v>394.08</v>
      </c>
    </row>
    <row r="704" spans="1:16" x14ac:dyDescent="0.35">
      <c r="A704" s="2" t="s">
        <v>1424</v>
      </c>
      <c r="B704" s="2" t="s">
        <v>1425</v>
      </c>
      <c r="C704" s="3">
        <v>45282</v>
      </c>
      <c r="D704" s="2" t="s">
        <v>20</v>
      </c>
      <c r="E704" s="2" t="s">
        <v>24</v>
      </c>
      <c r="F704" s="2">
        <v>2</v>
      </c>
      <c r="G704" s="2">
        <v>197.04</v>
      </c>
      <c r="H704" s="2">
        <v>394.08</v>
      </c>
      <c r="I704" s="2" t="s">
        <v>38</v>
      </c>
      <c r="J704" s="2" t="str">
        <f t="shared" si="20"/>
        <v>Dec</v>
      </c>
      <c r="K704" s="4">
        <f>IF(AND(ISNUMBER(Lab2_Dataset[[#This Row],[Revenue]]), ISNUMBER(Lab2_Dataset[[#This Row],[Quantity]]), Lab2_Dataset[[#This Row],[Quantity]]&lt;&gt;0), Lab2_Dataset[[#This Row],[Revenue]]/Lab2_Dataset[[#This Row],[Quantity]], "")</f>
        <v>197.04</v>
      </c>
      <c r="O704" s="2" t="b">
        <v>0</v>
      </c>
      <c r="P704" s="2" t="str">
        <f t="shared" si="21"/>
        <v/>
      </c>
    </row>
    <row r="705" spans="1:16" x14ac:dyDescent="0.35">
      <c r="A705" s="2" t="s">
        <v>1426</v>
      </c>
      <c r="B705" s="2" t="s">
        <v>1427</v>
      </c>
      <c r="C705" s="3">
        <v>45720</v>
      </c>
      <c r="D705" s="2" t="s">
        <v>34</v>
      </c>
      <c r="E705" s="2" t="s">
        <v>12</v>
      </c>
      <c r="G705" s="2">
        <v>119.42</v>
      </c>
      <c r="I705" s="2" t="s">
        <v>38</v>
      </c>
      <c r="J705" s="2" t="str">
        <f t="shared" si="20"/>
        <v>Mar</v>
      </c>
      <c r="K70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05" s="2" t="b">
        <v>1</v>
      </c>
      <c r="P705" s="2">
        <f t="shared" si="21"/>
        <v>37.14</v>
      </c>
    </row>
    <row r="706" spans="1:16" x14ac:dyDescent="0.35">
      <c r="A706" s="2" t="s">
        <v>1428</v>
      </c>
      <c r="B706" s="2" t="s">
        <v>1429</v>
      </c>
      <c r="C706" s="3">
        <v>45559</v>
      </c>
      <c r="D706" s="2" t="s">
        <v>34</v>
      </c>
      <c r="E706" s="2" t="s">
        <v>28</v>
      </c>
      <c r="F706" s="2">
        <v>3</v>
      </c>
      <c r="G706" s="2">
        <v>12.38</v>
      </c>
      <c r="H706" s="2">
        <v>37.14</v>
      </c>
      <c r="I706" s="2" t="s">
        <v>13</v>
      </c>
      <c r="J706" s="2" t="str">
        <f t="shared" ref="J706:J769" si="22">TEXT(C706,"mmm")</f>
        <v>Sep</v>
      </c>
      <c r="K706" s="4">
        <f>IF(AND(ISNUMBER(Lab2_Dataset[[#This Row],[Revenue]]), ISNUMBER(Lab2_Dataset[[#This Row],[Quantity]]), Lab2_Dataset[[#This Row],[Quantity]]&lt;&gt;0), Lab2_Dataset[[#This Row],[Revenue]]/Lab2_Dataset[[#This Row],[Quantity]], "")</f>
        <v>12.38</v>
      </c>
      <c r="O706" s="2" t="b">
        <v>0</v>
      </c>
      <c r="P706" s="2" t="str">
        <f t="shared" si="21"/>
        <v/>
      </c>
    </row>
    <row r="707" spans="1:16" x14ac:dyDescent="0.35">
      <c r="A707" s="2" t="s">
        <v>1430</v>
      </c>
      <c r="B707" s="2" t="s">
        <v>1431</v>
      </c>
      <c r="C707" s="3">
        <v>45282</v>
      </c>
      <c r="D707" s="2" t="s">
        <v>11</v>
      </c>
      <c r="E707" s="2" t="s">
        <v>28</v>
      </c>
      <c r="G707" s="2">
        <v>23.09</v>
      </c>
      <c r="I707" s="2" t="s">
        <v>21</v>
      </c>
      <c r="J707" s="2" t="str">
        <f t="shared" si="22"/>
        <v>Dec</v>
      </c>
      <c r="K7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07" s="2" t="b">
        <v>1</v>
      </c>
      <c r="P707" s="2" t="str">
        <f t="shared" ref="P707:P770" si="23">IF(O708=TRUE,"",F708*G708)</f>
        <v/>
      </c>
    </row>
    <row r="708" spans="1:16" x14ac:dyDescent="0.35">
      <c r="A708" s="2" t="s">
        <v>1432</v>
      </c>
      <c r="B708" s="2" t="s">
        <v>1433</v>
      </c>
      <c r="C708" s="3">
        <v>45697</v>
      </c>
      <c r="D708" s="2" t="s">
        <v>11</v>
      </c>
      <c r="E708" s="2" t="s">
        <v>12</v>
      </c>
      <c r="G708" s="2">
        <v>42.18</v>
      </c>
      <c r="I708" s="2" t="s">
        <v>38</v>
      </c>
      <c r="J708" s="2" t="str">
        <f t="shared" si="22"/>
        <v>Feb</v>
      </c>
      <c r="K70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08" s="2" t="b">
        <v>1</v>
      </c>
      <c r="P708" s="2">
        <f t="shared" si="23"/>
        <v>1156.05</v>
      </c>
    </row>
    <row r="709" spans="1:16" x14ac:dyDescent="0.35">
      <c r="A709" s="2" t="s">
        <v>1434</v>
      </c>
      <c r="B709" s="2" t="s">
        <v>1435</v>
      </c>
      <c r="C709" s="3">
        <v>45649</v>
      </c>
      <c r="D709" s="2" t="s">
        <v>34</v>
      </c>
      <c r="E709" s="2" t="s">
        <v>24</v>
      </c>
      <c r="F709" s="2">
        <v>7</v>
      </c>
      <c r="G709" s="2">
        <v>165.15</v>
      </c>
      <c r="H709" s="2">
        <v>1156.05</v>
      </c>
      <c r="I709" s="2" t="s">
        <v>21</v>
      </c>
      <c r="J709" s="2" t="str">
        <f t="shared" si="22"/>
        <v>Dec</v>
      </c>
      <c r="K709" s="4">
        <f>IF(AND(ISNUMBER(Lab2_Dataset[[#This Row],[Revenue]]), ISNUMBER(Lab2_Dataset[[#This Row],[Quantity]]), Lab2_Dataset[[#This Row],[Quantity]]&lt;&gt;0), Lab2_Dataset[[#This Row],[Revenue]]/Lab2_Dataset[[#This Row],[Quantity]], "")</f>
        <v>165.15</v>
      </c>
      <c r="O709" s="2" t="b">
        <v>0</v>
      </c>
      <c r="P709" s="2">
        <f t="shared" si="23"/>
        <v>258.29999999999995</v>
      </c>
    </row>
    <row r="710" spans="1:16" x14ac:dyDescent="0.35">
      <c r="A710" s="2" t="s">
        <v>1436</v>
      </c>
      <c r="B710" s="2" t="s">
        <v>1437</v>
      </c>
      <c r="C710" s="3">
        <v>45230</v>
      </c>
      <c r="D710" s="2" t="s">
        <v>37</v>
      </c>
      <c r="E710" s="2" t="s">
        <v>24</v>
      </c>
      <c r="F710" s="2">
        <v>5</v>
      </c>
      <c r="G710" s="2">
        <v>51.66</v>
      </c>
      <c r="I710" s="2" t="s">
        <v>52</v>
      </c>
      <c r="J710" s="2" t="str">
        <f t="shared" si="22"/>
        <v>Oct</v>
      </c>
      <c r="K7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10" s="2" t="b">
        <v>0</v>
      </c>
      <c r="P710" s="2">
        <f t="shared" si="23"/>
        <v>1154.6499999999999</v>
      </c>
    </row>
    <row r="711" spans="1:16" x14ac:dyDescent="0.35">
      <c r="A711" s="2" t="s">
        <v>1438</v>
      </c>
      <c r="B711" s="2" t="s">
        <v>1439</v>
      </c>
      <c r="C711" s="3">
        <v>45765</v>
      </c>
      <c r="D711" s="2" t="s">
        <v>27</v>
      </c>
      <c r="E711" s="2" t="s">
        <v>24</v>
      </c>
      <c r="F711" s="2">
        <v>7</v>
      </c>
      <c r="G711" s="2">
        <v>164.95</v>
      </c>
      <c r="H711" s="2">
        <v>1154.6500000000001</v>
      </c>
      <c r="I711" s="2" t="s">
        <v>38</v>
      </c>
      <c r="J711" s="2" t="str">
        <f t="shared" si="22"/>
        <v>Apr</v>
      </c>
      <c r="K711" s="4">
        <f>IF(AND(ISNUMBER(Lab2_Dataset[[#This Row],[Revenue]]), ISNUMBER(Lab2_Dataset[[#This Row],[Quantity]]), Lab2_Dataset[[#This Row],[Quantity]]&lt;&gt;0), Lab2_Dataset[[#This Row],[Revenue]]/Lab2_Dataset[[#This Row],[Quantity]], "")</f>
        <v>164.95000000000002</v>
      </c>
      <c r="O711" s="2" t="b">
        <v>0</v>
      </c>
      <c r="P711" s="2">
        <f t="shared" si="23"/>
        <v>610.47</v>
      </c>
    </row>
    <row r="712" spans="1:16" x14ac:dyDescent="0.35">
      <c r="A712" s="2" t="s">
        <v>1440</v>
      </c>
      <c r="B712" s="2" t="s">
        <v>1441</v>
      </c>
      <c r="C712" s="3">
        <v>45703</v>
      </c>
      <c r="D712" s="2" t="s">
        <v>11</v>
      </c>
      <c r="E712" s="2" t="s">
        <v>47</v>
      </c>
      <c r="F712" s="2">
        <v>9</v>
      </c>
      <c r="G712" s="2">
        <v>67.83</v>
      </c>
      <c r="H712" s="2">
        <v>610.47</v>
      </c>
      <c r="I712" s="2" t="s">
        <v>17</v>
      </c>
      <c r="J712" s="2" t="str">
        <f t="shared" si="22"/>
        <v>Feb</v>
      </c>
      <c r="K712" s="4">
        <f>IF(AND(ISNUMBER(Lab2_Dataset[[#This Row],[Revenue]]), ISNUMBER(Lab2_Dataset[[#This Row],[Quantity]]), Lab2_Dataset[[#This Row],[Quantity]]&lt;&gt;0), Lab2_Dataset[[#This Row],[Revenue]]/Lab2_Dataset[[#This Row],[Quantity]], "")</f>
        <v>67.83</v>
      </c>
      <c r="O712" s="2" t="b">
        <v>0</v>
      </c>
      <c r="P712" s="2" t="str">
        <f t="shared" si="23"/>
        <v/>
      </c>
    </row>
    <row r="713" spans="1:16" x14ac:dyDescent="0.35">
      <c r="A713" s="2" t="s">
        <v>1442</v>
      </c>
      <c r="B713" s="2" t="s">
        <v>1443</v>
      </c>
      <c r="C713" s="3">
        <v>45533</v>
      </c>
      <c r="D713" s="2" t="s">
        <v>27</v>
      </c>
      <c r="E713" s="2" t="s">
        <v>12</v>
      </c>
      <c r="G713" s="2">
        <v>68.239999999999995</v>
      </c>
      <c r="I713" s="2" t="s">
        <v>17</v>
      </c>
      <c r="J713" s="2" t="str">
        <f t="shared" si="22"/>
        <v>Aug</v>
      </c>
      <c r="K71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13" s="2" t="b">
        <v>1</v>
      </c>
      <c r="P713" s="2" t="str">
        <f t="shared" si="23"/>
        <v/>
      </c>
    </row>
    <row r="714" spans="1:16" x14ac:dyDescent="0.35">
      <c r="A714" s="2" t="s">
        <v>1444</v>
      </c>
      <c r="B714" s="2" t="s">
        <v>1445</v>
      </c>
      <c r="C714" s="3">
        <v>45258</v>
      </c>
      <c r="D714" s="2" t="s">
        <v>34</v>
      </c>
      <c r="E714" s="2" t="s">
        <v>16</v>
      </c>
      <c r="G714" s="2">
        <v>33.549999999999997</v>
      </c>
      <c r="I714" s="2" t="s">
        <v>17</v>
      </c>
      <c r="J714" s="2" t="str">
        <f t="shared" si="22"/>
        <v>Nov</v>
      </c>
      <c r="K7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14" s="2" t="b">
        <v>1</v>
      </c>
      <c r="P714" s="2">
        <f t="shared" si="23"/>
        <v>122.16</v>
      </c>
    </row>
    <row r="715" spans="1:16" x14ac:dyDescent="0.35">
      <c r="A715" s="2" t="s">
        <v>1446</v>
      </c>
      <c r="B715" s="2" t="s">
        <v>1447</v>
      </c>
      <c r="C715" s="3">
        <v>45478</v>
      </c>
      <c r="D715" s="2" t="s">
        <v>11</v>
      </c>
      <c r="E715" s="2" t="s">
        <v>47</v>
      </c>
      <c r="F715" s="2">
        <v>6</v>
      </c>
      <c r="G715" s="2">
        <v>20.36</v>
      </c>
      <c r="H715" s="2">
        <v>122.16</v>
      </c>
      <c r="I715" s="2" t="s">
        <v>38</v>
      </c>
      <c r="J715" s="2" t="str">
        <f t="shared" si="22"/>
        <v>Jul</v>
      </c>
      <c r="K715" s="4">
        <f>IF(AND(ISNUMBER(Lab2_Dataset[[#This Row],[Revenue]]), ISNUMBER(Lab2_Dataset[[#This Row],[Quantity]]), Lab2_Dataset[[#This Row],[Quantity]]&lt;&gt;0), Lab2_Dataset[[#This Row],[Revenue]]/Lab2_Dataset[[#This Row],[Quantity]], "")</f>
        <v>20.36</v>
      </c>
      <c r="O715" s="2" t="b">
        <v>0</v>
      </c>
      <c r="P715" s="2">
        <f t="shared" si="23"/>
        <v>1090.3500000000001</v>
      </c>
    </row>
    <row r="716" spans="1:16" x14ac:dyDescent="0.35">
      <c r="A716" s="2" t="s">
        <v>1448</v>
      </c>
      <c r="B716" s="2" t="s">
        <v>1449</v>
      </c>
      <c r="C716" s="3">
        <v>45296</v>
      </c>
      <c r="D716" s="2" t="s">
        <v>27</v>
      </c>
      <c r="E716" s="2" t="s">
        <v>28</v>
      </c>
      <c r="F716" s="2">
        <v>9</v>
      </c>
      <c r="G716" s="2">
        <v>121.15</v>
      </c>
      <c r="H716" s="2">
        <v>1090.3499999999999</v>
      </c>
      <c r="I716" s="2" t="s">
        <v>21</v>
      </c>
      <c r="J716" s="2" t="str">
        <f t="shared" si="22"/>
        <v>Jan</v>
      </c>
      <c r="K716" s="4">
        <f>IF(AND(ISNUMBER(Lab2_Dataset[[#This Row],[Revenue]]), ISNUMBER(Lab2_Dataset[[#This Row],[Quantity]]), Lab2_Dataset[[#This Row],[Quantity]]&lt;&gt;0), Lab2_Dataset[[#This Row],[Revenue]]/Lab2_Dataset[[#This Row],[Quantity]], "")</f>
        <v>121.14999999999999</v>
      </c>
      <c r="O716" s="2" t="b">
        <v>0</v>
      </c>
      <c r="P716" s="2" t="str">
        <f t="shared" si="23"/>
        <v/>
      </c>
    </row>
    <row r="717" spans="1:16" x14ac:dyDescent="0.35">
      <c r="A717" s="2" t="s">
        <v>1450</v>
      </c>
      <c r="B717" s="2" t="s">
        <v>1451</v>
      </c>
      <c r="C717" s="3">
        <v>45128</v>
      </c>
      <c r="D717" s="2" t="s">
        <v>11</v>
      </c>
      <c r="E717" s="2" t="s">
        <v>47</v>
      </c>
      <c r="G717" s="2">
        <v>55</v>
      </c>
      <c r="I717" s="2" t="s">
        <v>31</v>
      </c>
      <c r="J717" s="2" t="str">
        <f t="shared" si="22"/>
        <v>Jul</v>
      </c>
      <c r="K7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17" s="2" t="b">
        <v>1</v>
      </c>
      <c r="P717" s="2">
        <f t="shared" si="23"/>
        <v>667.2</v>
      </c>
    </row>
    <row r="718" spans="1:16" x14ac:dyDescent="0.35">
      <c r="A718" s="2" t="s">
        <v>1452</v>
      </c>
      <c r="B718" s="2" t="s">
        <v>1453</v>
      </c>
      <c r="C718" s="3">
        <v>45285</v>
      </c>
      <c r="D718" s="2" t="s">
        <v>34</v>
      </c>
      <c r="E718" s="2" t="s">
        <v>47</v>
      </c>
      <c r="F718" s="2">
        <v>4</v>
      </c>
      <c r="G718" s="2">
        <v>166.8</v>
      </c>
      <c r="H718" s="2">
        <v>667.2</v>
      </c>
      <c r="I718" s="2" t="s">
        <v>31</v>
      </c>
      <c r="J718" s="2" t="str">
        <f t="shared" si="22"/>
        <v>Dec</v>
      </c>
      <c r="K718" s="4">
        <f>IF(AND(ISNUMBER(Lab2_Dataset[[#This Row],[Revenue]]), ISNUMBER(Lab2_Dataset[[#This Row],[Quantity]]), Lab2_Dataset[[#This Row],[Quantity]]&lt;&gt;0), Lab2_Dataset[[#This Row],[Revenue]]/Lab2_Dataset[[#This Row],[Quantity]], "")</f>
        <v>166.8</v>
      </c>
      <c r="O718" s="2" t="b">
        <v>0</v>
      </c>
      <c r="P718" s="2">
        <f t="shared" si="23"/>
        <v>264.51</v>
      </c>
    </row>
    <row r="719" spans="1:16" x14ac:dyDescent="0.35">
      <c r="A719" s="2" t="s">
        <v>1454</v>
      </c>
      <c r="B719" s="2" t="s">
        <v>1455</v>
      </c>
      <c r="C719" s="3">
        <v>45125</v>
      </c>
      <c r="D719" s="2" t="s">
        <v>34</v>
      </c>
      <c r="E719" s="2" t="s">
        <v>12</v>
      </c>
      <c r="F719" s="2">
        <v>9</v>
      </c>
      <c r="G719" s="2">
        <v>29.39</v>
      </c>
      <c r="H719" s="2">
        <v>264.51</v>
      </c>
      <c r="I719" s="2" t="s">
        <v>52</v>
      </c>
      <c r="J719" s="2" t="str">
        <f t="shared" si="22"/>
        <v>Jul</v>
      </c>
      <c r="K719" s="4">
        <f>IF(AND(ISNUMBER(Lab2_Dataset[[#This Row],[Revenue]]), ISNUMBER(Lab2_Dataset[[#This Row],[Quantity]]), Lab2_Dataset[[#This Row],[Quantity]]&lt;&gt;0), Lab2_Dataset[[#This Row],[Revenue]]/Lab2_Dataset[[#This Row],[Quantity]], "")</f>
        <v>29.39</v>
      </c>
      <c r="O719" s="2" t="b">
        <v>0</v>
      </c>
      <c r="P719" s="2" t="str">
        <f t="shared" si="23"/>
        <v/>
      </c>
    </row>
    <row r="720" spans="1:16" x14ac:dyDescent="0.35">
      <c r="A720" s="2" t="s">
        <v>1456</v>
      </c>
      <c r="B720" s="2" t="s">
        <v>1457</v>
      </c>
      <c r="C720" s="3">
        <v>45762</v>
      </c>
      <c r="D720" s="2" t="s">
        <v>34</v>
      </c>
      <c r="E720" s="2" t="s">
        <v>24</v>
      </c>
      <c r="G720" s="2">
        <v>147.96</v>
      </c>
      <c r="I720" s="2" t="s">
        <v>13</v>
      </c>
      <c r="J720" s="2" t="str">
        <f t="shared" si="22"/>
        <v>Apr</v>
      </c>
      <c r="K7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20" s="2" t="b">
        <v>1</v>
      </c>
      <c r="P720" s="2">
        <f t="shared" si="23"/>
        <v>80.789999999999992</v>
      </c>
    </row>
    <row r="721" spans="1:16" x14ac:dyDescent="0.35">
      <c r="A721" s="2" t="s">
        <v>1458</v>
      </c>
      <c r="B721" s="2" t="s">
        <v>1459</v>
      </c>
      <c r="C721" s="3">
        <v>45747</v>
      </c>
      <c r="D721" s="2" t="s">
        <v>27</v>
      </c>
      <c r="E721" s="2" t="s">
        <v>12</v>
      </c>
      <c r="F721" s="2">
        <v>3</v>
      </c>
      <c r="G721" s="2">
        <v>26.93</v>
      </c>
      <c r="H721" s="2">
        <v>80.790000000000006</v>
      </c>
      <c r="I721" s="2" t="s">
        <v>13</v>
      </c>
      <c r="J721" s="2" t="str">
        <f t="shared" si="22"/>
        <v>Mar</v>
      </c>
      <c r="K721" s="4">
        <f>IF(AND(ISNUMBER(Lab2_Dataset[[#This Row],[Revenue]]), ISNUMBER(Lab2_Dataset[[#This Row],[Quantity]]), Lab2_Dataset[[#This Row],[Quantity]]&lt;&gt;0), Lab2_Dataset[[#This Row],[Revenue]]/Lab2_Dataset[[#This Row],[Quantity]], "")</f>
        <v>26.930000000000003</v>
      </c>
      <c r="O721" s="2" t="b">
        <v>0</v>
      </c>
      <c r="P721" s="2">
        <f t="shared" si="23"/>
        <v>1483.92</v>
      </c>
    </row>
    <row r="722" spans="1:16" x14ac:dyDescent="0.35">
      <c r="A722" s="2" t="s">
        <v>1460</v>
      </c>
      <c r="B722" s="2" t="s">
        <v>1461</v>
      </c>
      <c r="C722" s="3">
        <v>45595</v>
      </c>
      <c r="D722" s="2" t="s">
        <v>27</v>
      </c>
      <c r="E722" s="2" t="s">
        <v>47</v>
      </c>
      <c r="F722" s="2">
        <v>9</v>
      </c>
      <c r="G722" s="2">
        <v>164.88</v>
      </c>
      <c r="H722" s="2">
        <v>1483.92</v>
      </c>
      <c r="I722" s="2" t="s">
        <v>13</v>
      </c>
      <c r="J722" s="2" t="str">
        <f t="shared" si="22"/>
        <v>Oct</v>
      </c>
      <c r="K722" s="4">
        <f>IF(AND(ISNUMBER(Lab2_Dataset[[#This Row],[Revenue]]), ISNUMBER(Lab2_Dataset[[#This Row],[Quantity]]), Lab2_Dataset[[#This Row],[Quantity]]&lt;&gt;0), Lab2_Dataset[[#This Row],[Revenue]]/Lab2_Dataset[[#This Row],[Quantity]], "")</f>
        <v>164.88</v>
      </c>
      <c r="O722" s="2" t="b">
        <v>0</v>
      </c>
      <c r="P722" s="2" t="str">
        <f t="shared" si="23"/>
        <v/>
      </c>
    </row>
    <row r="723" spans="1:16" x14ac:dyDescent="0.35">
      <c r="A723" s="2" t="s">
        <v>1462</v>
      </c>
      <c r="B723" s="2" t="s">
        <v>1463</v>
      </c>
      <c r="C723" s="3">
        <v>45526</v>
      </c>
      <c r="D723" s="2" t="s">
        <v>37</v>
      </c>
      <c r="E723" s="2" t="s">
        <v>28</v>
      </c>
      <c r="G723" s="2">
        <v>82.97</v>
      </c>
      <c r="I723" s="2" t="s">
        <v>52</v>
      </c>
      <c r="J723" s="2" t="str">
        <f t="shared" si="22"/>
        <v>Aug</v>
      </c>
      <c r="K72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23" s="2" t="b">
        <v>1</v>
      </c>
      <c r="P723" s="2" t="str">
        <f t="shared" si="23"/>
        <v/>
      </c>
    </row>
    <row r="724" spans="1:16" x14ac:dyDescent="0.35">
      <c r="A724" s="2" t="s">
        <v>1464</v>
      </c>
      <c r="B724" s="2" t="s">
        <v>1465</v>
      </c>
      <c r="C724" s="3">
        <v>45478</v>
      </c>
      <c r="D724" s="2" t="s">
        <v>20</v>
      </c>
      <c r="E724" s="2" t="s">
        <v>47</v>
      </c>
      <c r="G724" s="2">
        <v>140.63999999999999</v>
      </c>
      <c r="I724" s="2" t="s">
        <v>21</v>
      </c>
      <c r="J724" s="2" t="str">
        <f t="shared" si="22"/>
        <v>Jul</v>
      </c>
      <c r="K7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24" s="2" t="b">
        <v>1</v>
      </c>
      <c r="P724" s="2" t="str">
        <f t="shared" si="23"/>
        <v/>
      </c>
    </row>
    <row r="725" spans="1:16" x14ac:dyDescent="0.35">
      <c r="A725" s="2" t="s">
        <v>1466</v>
      </c>
      <c r="B725" s="2" t="s">
        <v>1467</v>
      </c>
      <c r="C725" s="3">
        <v>45456</v>
      </c>
      <c r="D725" s="2" t="s">
        <v>37</v>
      </c>
      <c r="E725" s="2" t="s">
        <v>16</v>
      </c>
      <c r="G725" s="2">
        <v>87.24</v>
      </c>
      <c r="I725" s="2" t="s">
        <v>21</v>
      </c>
      <c r="J725" s="2" t="str">
        <f t="shared" si="22"/>
        <v>Jun</v>
      </c>
      <c r="K7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25" s="2" t="b">
        <v>1</v>
      </c>
      <c r="P725" s="2">
        <f t="shared" si="23"/>
        <v>202.64</v>
      </c>
    </row>
    <row r="726" spans="1:16" x14ac:dyDescent="0.35">
      <c r="A726" s="2" t="s">
        <v>1468</v>
      </c>
      <c r="B726" s="2" t="s">
        <v>1469</v>
      </c>
      <c r="C726" s="3">
        <v>45184</v>
      </c>
      <c r="D726" s="2" t="s">
        <v>34</v>
      </c>
      <c r="E726" s="2" t="s">
        <v>28</v>
      </c>
      <c r="F726" s="2">
        <v>2</v>
      </c>
      <c r="G726" s="2">
        <v>101.32</v>
      </c>
      <c r="H726" s="2">
        <v>202.64</v>
      </c>
      <c r="I726" s="2" t="s">
        <v>13</v>
      </c>
      <c r="J726" s="2" t="str">
        <f t="shared" si="22"/>
        <v>Sep</v>
      </c>
      <c r="K726" s="4">
        <f>IF(AND(ISNUMBER(Lab2_Dataset[[#This Row],[Revenue]]), ISNUMBER(Lab2_Dataset[[#This Row],[Quantity]]), Lab2_Dataset[[#This Row],[Quantity]]&lt;&gt;0), Lab2_Dataset[[#This Row],[Revenue]]/Lab2_Dataset[[#This Row],[Quantity]], "")</f>
        <v>101.32</v>
      </c>
      <c r="O726" s="2" t="b">
        <v>0</v>
      </c>
      <c r="P726" s="2" t="str">
        <f t="shared" si="23"/>
        <v/>
      </c>
    </row>
    <row r="727" spans="1:16" x14ac:dyDescent="0.35">
      <c r="A727" s="2" t="s">
        <v>1470</v>
      </c>
      <c r="B727" s="2" t="s">
        <v>1471</v>
      </c>
      <c r="C727" s="3">
        <v>45762</v>
      </c>
      <c r="D727" s="2" t="s">
        <v>20</v>
      </c>
      <c r="E727" s="2" t="s">
        <v>28</v>
      </c>
      <c r="G727" s="2">
        <v>62.67</v>
      </c>
      <c r="I727" s="2" t="s">
        <v>38</v>
      </c>
      <c r="J727" s="2" t="str">
        <f t="shared" si="22"/>
        <v>Apr</v>
      </c>
      <c r="K72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27" s="2" t="b">
        <v>1</v>
      </c>
      <c r="P727" s="2">
        <f t="shared" si="23"/>
        <v>426.4</v>
      </c>
    </row>
    <row r="728" spans="1:16" x14ac:dyDescent="0.35">
      <c r="A728" s="2" t="s">
        <v>1472</v>
      </c>
      <c r="B728" s="2" t="s">
        <v>1473</v>
      </c>
      <c r="C728" s="3">
        <v>45228</v>
      </c>
      <c r="D728" s="2" t="s">
        <v>20</v>
      </c>
      <c r="E728" s="2" t="s">
        <v>28</v>
      </c>
      <c r="F728" s="2">
        <v>8</v>
      </c>
      <c r="G728" s="2">
        <v>53.3</v>
      </c>
      <c r="H728" s="2">
        <v>426.4</v>
      </c>
      <c r="I728" s="2" t="s">
        <v>21</v>
      </c>
      <c r="J728" s="2" t="str">
        <f t="shared" si="22"/>
        <v>Oct</v>
      </c>
      <c r="K728" s="4">
        <f>IF(AND(ISNUMBER(Lab2_Dataset[[#This Row],[Revenue]]), ISNUMBER(Lab2_Dataset[[#This Row],[Quantity]]), Lab2_Dataset[[#This Row],[Quantity]]&lt;&gt;0), Lab2_Dataset[[#This Row],[Revenue]]/Lab2_Dataset[[#This Row],[Quantity]], "")</f>
        <v>53.3</v>
      </c>
      <c r="O728" s="2" t="b">
        <v>0</v>
      </c>
      <c r="P728" s="2">
        <f t="shared" si="23"/>
        <v>68.08</v>
      </c>
    </row>
    <row r="729" spans="1:16" x14ac:dyDescent="0.35">
      <c r="A729" s="2" t="s">
        <v>1474</v>
      </c>
      <c r="B729" s="2" t="s">
        <v>1475</v>
      </c>
      <c r="C729" s="3">
        <v>45256</v>
      </c>
      <c r="D729" s="2" t="s">
        <v>37</v>
      </c>
      <c r="E729" s="2" t="s">
        <v>12</v>
      </c>
      <c r="F729" s="2">
        <v>1</v>
      </c>
      <c r="G729" s="2">
        <v>68.08</v>
      </c>
      <c r="H729" s="2">
        <v>68.08</v>
      </c>
      <c r="I729" s="2" t="s">
        <v>52</v>
      </c>
      <c r="J729" s="2" t="str">
        <f t="shared" si="22"/>
        <v>Nov</v>
      </c>
      <c r="K729" s="4">
        <f>IF(AND(ISNUMBER(Lab2_Dataset[[#This Row],[Revenue]]), ISNUMBER(Lab2_Dataset[[#This Row],[Quantity]]), Lab2_Dataset[[#This Row],[Quantity]]&lt;&gt;0), Lab2_Dataset[[#This Row],[Revenue]]/Lab2_Dataset[[#This Row],[Quantity]], "")</f>
        <v>68.08</v>
      </c>
      <c r="O729" s="2" t="b">
        <v>0</v>
      </c>
      <c r="P729" s="2">
        <f t="shared" si="23"/>
        <v>187.8</v>
      </c>
    </row>
    <row r="730" spans="1:16" x14ac:dyDescent="0.35">
      <c r="A730" s="2" t="s">
        <v>1476</v>
      </c>
      <c r="B730" s="2" t="s">
        <v>1477</v>
      </c>
      <c r="C730" s="3">
        <v>45104</v>
      </c>
      <c r="D730" s="2" t="s">
        <v>34</v>
      </c>
      <c r="E730" s="2" t="s">
        <v>16</v>
      </c>
      <c r="F730" s="2">
        <v>3</v>
      </c>
      <c r="G730" s="2">
        <v>62.6</v>
      </c>
      <c r="H730" s="2">
        <v>187.8</v>
      </c>
      <c r="I730" s="2" t="s">
        <v>17</v>
      </c>
      <c r="J730" s="2" t="str">
        <f t="shared" si="22"/>
        <v>Jun</v>
      </c>
      <c r="K730" s="4">
        <f>IF(AND(ISNUMBER(Lab2_Dataset[[#This Row],[Revenue]]), ISNUMBER(Lab2_Dataset[[#This Row],[Quantity]]), Lab2_Dataset[[#This Row],[Quantity]]&lt;&gt;0), Lab2_Dataset[[#This Row],[Revenue]]/Lab2_Dataset[[#This Row],[Quantity]], "")</f>
        <v>62.6</v>
      </c>
      <c r="O730" s="2" t="b">
        <v>0</v>
      </c>
      <c r="P730" s="2" t="str">
        <f t="shared" si="23"/>
        <v/>
      </c>
    </row>
    <row r="731" spans="1:16" x14ac:dyDescent="0.35">
      <c r="A731" s="2" t="s">
        <v>1478</v>
      </c>
      <c r="B731" s="2" t="s">
        <v>1479</v>
      </c>
      <c r="C731" s="3">
        <v>45267</v>
      </c>
      <c r="D731" s="2" t="s">
        <v>20</v>
      </c>
      <c r="E731" s="2" t="s">
        <v>47</v>
      </c>
      <c r="G731" s="2">
        <v>65.239999999999995</v>
      </c>
      <c r="I731" s="2" t="s">
        <v>52</v>
      </c>
      <c r="J731" s="2" t="str">
        <f t="shared" si="22"/>
        <v>Dec</v>
      </c>
      <c r="K7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1" s="2" t="b">
        <v>1</v>
      </c>
      <c r="P731" s="2" t="str">
        <f t="shared" si="23"/>
        <v/>
      </c>
    </row>
    <row r="732" spans="1:16" x14ac:dyDescent="0.35">
      <c r="A732" s="2" t="s">
        <v>1480</v>
      </c>
      <c r="B732" s="2" t="s">
        <v>1481</v>
      </c>
      <c r="C732" s="3">
        <v>45256</v>
      </c>
      <c r="D732" s="2" t="s">
        <v>27</v>
      </c>
      <c r="E732" s="2" t="s">
        <v>28</v>
      </c>
      <c r="G732" s="2">
        <v>172.5</v>
      </c>
      <c r="I732" s="2" t="s">
        <v>38</v>
      </c>
      <c r="J732" s="2" t="str">
        <f t="shared" si="22"/>
        <v>Nov</v>
      </c>
      <c r="K73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2" s="2" t="b">
        <v>1</v>
      </c>
      <c r="P732" s="2" t="str">
        <f t="shared" si="23"/>
        <v/>
      </c>
    </row>
    <row r="733" spans="1:16" x14ac:dyDescent="0.35">
      <c r="A733" s="2" t="s">
        <v>1482</v>
      </c>
      <c r="B733" s="2" t="s">
        <v>1483</v>
      </c>
      <c r="C733" s="3">
        <v>45217</v>
      </c>
      <c r="D733" s="2" t="s">
        <v>69</v>
      </c>
      <c r="E733" s="2" t="s">
        <v>12</v>
      </c>
      <c r="G733" s="2">
        <v>80.17</v>
      </c>
      <c r="I733" s="2" t="s">
        <v>13</v>
      </c>
      <c r="J733" s="2" t="str">
        <f t="shared" si="22"/>
        <v>Oct</v>
      </c>
      <c r="K7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3" s="2" t="b">
        <v>1</v>
      </c>
      <c r="P733" s="2" t="str">
        <f t="shared" si="23"/>
        <v/>
      </c>
    </row>
    <row r="734" spans="1:16" x14ac:dyDescent="0.35">
      <c r="A734" s="2" t="s">
        <v>1484</v>
      </c>
      <c r="B734" s="2" t="s">
        <v>1485</v>
      </c>
      <c r="C734" s="3">
        <v>45692</v>
      </c>
      <c r="D734" s="2" t="s">
        <v>11</v>
      </c>
      <c r="E734" s="2" t="s">
        <v>28</v>
      </c>
      <c r="G734" s="2">
        <v>23.31</v>
      </c>
      <c r="I734" s="2" t="s">
        <v>31</v>
      </c>
      <c r="J734" s="2" t="str">
        <f t="shared" si="22"/>
        <v>Feb</v>
      </c>
      <c r="K73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4" s="2" t="b">
        <v>1</v>
      </c>
      <c r="P734" s="2" t="str">
        <f t="shared" si="23"/>
        <v/>
      </c>
    </row>
    <row r="735" spans="1:16" x14ac:dyDescent="0.35">
      <c r="A735" s="2" t="s">
        <v>1486</v>
      </c>
      <c r="B735" s="2" t="s">
        <v>1487</v>
      </c>
      <c r="C735" s="3">
        <v>45319</v>
      </c>
      <c r="D735" s="2" t="s">
        <v>27</v>
      </c>
      <c r="E735" s="2" t="s">
        <v>12</v>
      </c>
      <c r="G735" s="2">
        <v>65.44</v>
      </c>
      <c r="I735" s="2" t="s">
        <v>13</v>
      </c>
      <c r="J735" s="2" t="str">
        <f t="shared" si="22"/>
        <v>Jan</v>
      </c>
      <c r="K7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5" s="2" t="b">
        <v>1</v>
      </c>
      <c r="P735" s="2" t="str">
        <f t="shared" si="23"/>
        <v/>
      </c>
    </row>
    <row r="736" spans="1:16" x14ac:dyDescent="0.35">
      <c r="A736" s="2" t="s">
        <v>1488</v>
      </c>
      <c r="B736" s="2" t="s">
        <v>1489</v>
      </c>
      <c r="C736" s="3">
        <v>45377</v>
      </c>
      <c r="D736" s="2" t="s">
        <v>27</v>
      </c>
      <c r="E736" s="2" t="s">
        <v>28</v>
      </c>
      <c r="G736" s="2">
        <v>60.4</v>
      </c>
      <c r="I736" s="2" t="s">
        <v>17</v>
      </c>
      <c r="J736" s="2" t="str">
        <f t="shared" si="22"/>
        <v>Mar</v>
      </c>
      <c r="K7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6" s="2" t="b">
        <v>1</v>
      </c>
      <c r="P736" s="2" t="str">
        <f t="shared" si="23"/>
        <v/>
      </c>
    </row>
    <row r="737" spans="1:16" x14ac:dyDescent="0.35">
      <c r="A737" s="2" t="s">
        <v>1490</v>
      </c>
      <c r="B737" s="2" t="s">
        <v>1491</v>
      </c>
      <c r="C737" s="3">
        <v>45431</v>
      </c>
      <c r="D737" s="2" t="s">
        <v>11</v>
      </c>
      <c r="E737" s="2" t="s">
        <v>16</v>
      </c>
      <c r="G737" s="2">
        <v>162.91</v>
      </c>
      <c r="I737" s="2" t="s">
        <v>13</v>
      </c>
      <c r="J737" s="2" t="str">
        <f t="shared" si="22"/>
        <v>May</v>
      </c>
      <c r="K7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7" s="2" t="b">
        <v>1</v>
      </c>
      <c r="P737" s="2" t="str">
        <f t="shared" si="23"/>
        <v/>
      </c>
    </row>
    <row r="738" spans="1:16" x14ac:dyDescent="0.35">
      <c r="A738" s="2" t="s">
        <v>1492</v>
      </c>
      <c r="B738" s="2" t="s">
        <v>1493</v>
      </c>
      <c r="C738" s="3">
        <v>45404</v>
      </c>
      <c r="D738" s="2" t="s">
        <v>69</v>
      </c>
      <c r="E738" s="2" t="s">
        <v>24</v>
      </c>
      <c r="G738" s="2">
        <v>37.090000000000003</v>
      </c>
      <c r="I738" s="2" t="s">
        <v>31</v>
      </c>
      <c r="J738" s="2" t="str">
        <f t="shared" si="22"/>
        <v>Apr</v>
      </c>
      <c r="K73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38" s="2" t="b">
        <v>1</v>
      </c>
      <c r="P738" s="2">
        <f t="shared" si="23"/>
        <v>751.14</v>
      </c>
    </row>
    <row r="739" spans="1:16" x14ac:dyDescent="0.35">
      <c r="A739" s="2" t="s">
        <v>1494</v>
      </c>
      <c r="B739" s="2" t="s">
        <v>1495</v>
      </c>
      <c r="C739" s="3">
        <v>45729</v>
      </c>
      <c r="D739" s="2" t="s">
        <v>69</v>
      </c>
      <c r="E739" s="2" t="s">
        <v>47</v>
      </c>
      <c r="F739" s="2">
        <v>9</v>
      </c>
      <c r="G739" s="2">
        <v>83.46</v>
      </c>
      <c r="H739" s="2">
        <v>751.14</v>
      </c>
      <c r="I739" s="2" t="s">
        <v>31</v>
      </c>
      <c r="J739" s="2" t="str">
        <f t="shared" si="22"/>
        <v>Mar</v>
      </c>
      <c r="K739" s="4">
        <f>IF(AND(ISNUMBER(Lab2_Dataset[[#This Row],[Revenue]]), ISNUMBER(Lab2_Dataset[[#This Row],[Quantity]]), Lab2_Dataset[[#This Row],[Quantity]]&lt;&gt;0), Lab2_Dataset[[#This Row],[Revenue]]/Lab2_Dataset[[#This Row],[Quantity]], "")</f>
        <v>83.46</v>
      </c>
      <c r="O739" s="2" t="b">
        <v>0</v>
      </c>
      <c r="P739" s="2" t="str">
        <f t="shared" si="23"/>
        <v/>
      </c>
    </row>
    <row r="740" spans="1:16" x14ac:dyDescent="0.35">
      <c r="A740" s="2" t="s">
        <v>1496</v>
      </c>
      <c r="B740" s="2" t="s">
        <v>1497</v>
      </c>
      <c r="C740" s="3">
        <v>45464</v>
      </c>
      <c r="D740" s="2" t="s">
        <v>27</v>
      </c>
      <c r="E740" s="2" t="s">
        <v>12</v>
      </c>
      <c r="G740" s="2">
        <v>41.48</v>
      </c>
      <c r="I740" s="2" t="s">
        <v>38</v>
      </c>
      <c r="J740" s="2" t="str">
        <f t="shared" si="22"/>
        <v>Jun</v>
      </c>
      <c r="K74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40" s="2" t="b">
        <v>1</v>
      </c>
      <c r="P740" s="2">
        <f t="shared" si="23"/>
        <v>787.15000000000009</v>
      </c>
    </row>
    <row r="741" spans="1:16" x14ac:dyDescent="0.35">
      <c r="A741" s="2" t="s">
        <v>1498</v>
      </c>
      <c r="B741" s="2" t="s">
        <v>1499</v>
      </c>
      <c r="C741" s="3">
        <v>45466</v>
      </c>
      <c r="D741" s="2" t="s">
        <v>37</v>
      </c>
      <c r="E741" s="2" t="s">
        <v>28</v>
      </c>
      <c r="F741" s="2">
        <v>5</v>
      </c>
      <c r="G741" s="2">
        <v>157.43</v>
      </c>
      <c r="H741" s="2">
        <v>787.15</v>
      </c>
      <c r="I741" s="2" t="s">
        <v>31</v>
      </c>
      <c r="J741" s="2" t="str">
        <f t="shared" si="22"/>
        <v>Jun</v>
      </c>
      <c r="K741" s="4">
        <f>IF(AND(ISNUMBER(Lab2_Dataset[[#This Row],[Revenue]]), ISNUMBER(Lab2_Dataset[[#This Row],[Quantity]]), Lab2_Dataset[[#This Row],[Quantity]]&lt;&gt;0), Lab2_Dataset[[#This Row],[Revenue]]/Lab2_Dataset[[#This Row],[Quantity]], "")</f>
        <v>157.43</v>
      </c>
      <c r="O741" s="2" t="b">
        <v>0</v>
      </c>
      <c r="P741" s="2">
        <f t="shared" si="23"/>
        <v>123.96000000000001</v>
      </c>
    </row>
    <row r="742" spans="1:16" x14ac:dyDescent="0.35">
      <c r="A742" s="2" t="s">
        <v>1500</v>
      </c>
      <c r="B742" s="2" t="s">
        <v>1501</v>
      </c>
      <c r="C742" s="3">
        <v>45565</v>
      </c>
      <c r="D742" s="2" t="s">
        <v>27</v>
      </c>
      <c r="E742" s="2" t="s">
        <v>47</v>
      </c>
      <c r="F742" s="2">
        <v>6</v>
      </c>
      <c r="G742" s="2">
        <v>20.66</v>
      </c>
      <c r="H742" s="2">
        <v>123.96</v>
      </c>
      <c r="I742" s="2" t="s">
        <v>21</v>
      </c>
      <c r="J742" s="2" t="str">
        <f t="shared" si="22"/>
        <v>Sep</v>
      </c>
      <c r="K742" s="4">
        <f>IF(AND(ISNUMBER(Lab2_Dataset[[#This Row],[Revenue]]), ISNUMBER(Lab2_Dataset[[#This Row],[Quantity]]), Lab2_Dataset[[#This Row],[Quantity]]&lt;&gt;0), Lab2_Dataset[[#This Row],[Revenue]]/Lab2_Dataset[[#This Row],[Quantity]], "")</f>
        <v>20.66</v>
      </c>
      <c r="O742" s="2" t="b">
        <v>0</v>
      </c>
      <c r="P742" s="2">
        <f t="shared" si="23"/>
        <v>890.5</v>
      </c>
    </row>
    <row r="743" spans="1:16" x14ac:dyDescent="0.35">
      <c r="A743" s="2" t="s">
        <v>1502</v>
      </c>
      <c r="B743" s="2" t="s">
        <v>1503</v>
      </c>
      <c r="C743" s="3">
        <v>45391</v>
      </c>
      <c r="D743" s="2" t="s">
        <v>11</v>
      </c>
      <c r="E743" s="2" t="s">
        <v>16</v>
      </c>
      <c r="F743" s="2">
        <v>5</v>
      </c>
      <c r="G743" s="2">
        <v>178.1</v>
      </c>
      <c r="H743" s="2">
        <v>890.5</v>
      </c>
      <c r="I743" s="2" t="s">
        <v>13</v>
      </c>
      <c r="J743" s="2" t="str">
        <f t="shared" si="22"/>
        <v>Apr</v>
      </c>
      <c r="K743" s="4">
        <f>IF(AND(ISNUMBER(Lab2_Dataset[[#This Row],[Revenue]]), ISNUMBER(Lab2_Dataset[[#This Row],[Quantity]]), Lab2_Dataset[[#This Row],[Quantity]]&lt;&gt;0), Lab2_Dataset[[#This Row],[Revenue]]/Lab2_Dataset[[#This Row],[Quantity]], "")</f>
        <v>178.1</v>
      </c>
      <c r="O743" s="2" t="b">
        <v>0</v>
      </c>
      <c r="P743" s="2">
        <f t="shared" si="23"/>
        <v>240.66</v>
      </c>
    </row>
    <row r="744" spans="1:16" x14ac:dyDescent="0.35">
      <c r="A744" s="2" t="s">
        <v>1504</v>
      </c>
      <c r="B744" s="2" t="s">
        <v>1505</v>
      </c>
      <c r="C744" s="3">
        <v>45713</v>
      </c>
      <c r="D744" s="2" t="s">
        <v>34</v>
      </c>
      <c r="E744" s="2" t="s">
        <v>24</v>
      </c>
      <c r="F744" s="2">
        <v>6</v>
      </c>
      <c r="G744" s="2">
        <v>40.11</v>
      </c>
      <c r="H744" s="2">
        <v>240.66</v>
      </c>
      <c r="I744" s="2" t="s">
        <v>17</v>
      </c>
      <c r="J744" s="2" t="str">
        <f t="shared" si="22"/>
        <v>Feb</v>
      </c>
      <c r="K744" s="4">
        <f>IF(AND(ISNUMBER(Lab2_Dataset[[#This Row],[Revenue]]), ISNUMBER(Lab2_Dataset[[#This Row],[Quantity]]), Lab2_Dataset[[#This Row],[Quantity]]&lt;&gt;0), Lab2_Dataset[[#This Row],[Revenue]]/Lab2_Dataset[[#This Row],[Quantity]], "")</f>
        <v>40.11</v>
      </c>
      <c r="O744" s="2" t="b">
        <v>0</v>
      </c>
      <c r="P744" s="2">
        <f t="shared" si="23"/>
        <v>925.37999999999988</v>
      </c>
    </row>
    <row r="745" spans="1:16" x14ac:dyDescent="0.35">
      <c r="A745" s="2" t="s">
        <v>1506</v>
      </c>
      <c r="B745" s="2" t="s">
        <v>1507</v>
      </c>
      <c r="C745" s="3">
        <v>45701</v>
      </c>
      <c r="D745" s="2" t="s">
        <v>34</v>
      </c>
      <c r="E745" s="2" t="s">
        <v>47</v>
      </c>
      <c r="F745" s="2">
        <v>6</v>
      </c>
      <c r="G745" s="2">
        <v>154.22999999999999</v>
      </c>
      <c r="H745" s="2">
        <v>925.38</v>
      </c>
      <c r="I745" s="2" t="s">
        <v>21</v>
      </c>
      <c r="J745" s="2" t="str">
        <f t="shared" si="22"/>
        <v>Feb</v>
      </c>
      <c r="K745" s="4">
        <f>IF(AND(ISNUMBER(Lab2_Dataset[[#This Row],[Revenue]]), ISNUMBER(Lab2_Dataset[[#This Row],[Quantity]]), Lab2_Dataset[[#This Row],[Quantity]]&lt;&gt;0), Lab2_Dataset[[#This Row],[Revenue]]/Lab2_Dataset[[#This Row],[Quantity]], "")</f>
        <v>154.22999999999999</v>
      </c>
      <c r="O745" s="2" t="b">
        <v>0</v>
      </c>
      <c r="P745" s="2">
        <f t="shared" si="23"/>
        <v>845.11</v>
      </c>
    </row>
    <row r="746" spans="1:16" x14ac:dyDescent="0.35">
      <c r="A746" s="2" t="s">
        <v>1508</v>
      </c>
      <c r="B746" s="2" t="s">
        <v>1509</v>
      </c>
      <c r="C746" s="3">
        <v>45074</v>
      </c>
      <c r="D746" s="2" t="s">
        <v>27</v>
      </c>
      <c r="E746" s="2" t="s">
        <v>24</v>
      </c>
      <c r="F746" s="2">
        <v>7</v>
      </c>
      <c r="G746" s="2">
        <v>120.73</v>
      </c>
      <c r="H746" s="2">
        <v>845.11</v>
      </c>
      <c r="I746" s="2" t="s">
        <v>17</v>
      </c>
      <c r="J746" s="2" t="str">
        <f t="shared" si="22"/>
        <v>May</v>
      </c>
      <c r="K746" s="4">
        <f>IF(AND(ISNUMBER(Lab2_Dataset[[#This Row],[Revenue]]), ISNUMBER(Lab2_Dataset[[#This Row],[Quantity]]), Lab2_Dataset[[#This Row],[Quantity]]&lt;&gt;0), Lab2_Dataset[[#This Row],[Revenue]]/Lab2_Dataset[[#This Row],[Quantity]], "")</f>
        <v>120.73</v>
      </c>
      <c r="O746" s="2" t="b">
        <v>0</v>
      </c>
      <c r="P746" s="2">
        <f t="shared" si="23"/>
        <v>750.24</v>
      </c>
    </row>
    <row r="747" spans="1:16" x14ac:dyDescent="0.35">
      <c r="A747" s="2" t="s">
        <v>1510</v>
      </c>
      <c r="B747" s="2" t="s">
        <v>1511</v>
      </c>
      <c r="C747" s="3">
        <v>45719</v>
      </c>
      <c r="D747" s="2" t="s">
        <v>34</v>
      </c>
      <c r="E747" s="2" t="s">
        <v>24</v>
      </c>
      <c r="F747" s="2">
        <v>4</v>
      </c>
      <c r="G747" s="2">
        <v>187.56</v>
      </c>
      <c r="H747" s="2">
        <v>750.24</v>
      </c>
      <c r="I747" s="2" t="s">
        <v>52</v>
      </c>
      <c r="J747" s="2" t="str">
        <f t="shared" si="22"/>
        <v>Mar</v>
      </c>
      <c r="K747" s="4">
        <f>IF(AND(ISNUMBER(Lab2_Dataset[[#This Row],[Revenue]]), ISNUMBER(Lab2_Dataset[[#This Row],[Quantity]]), Lab2_Dataset[[#This Row],[Quantity]]&lt;&gt;0), Lab2_Dataset[[#This Row],[Revenue]]/Lab2_Dataset[[#This Row],[Quantity]], "")</f>
        <v>187.56</v>
      </c>
      <c r="O747" s="2" t="b">
        <v>0</v>
      </c>
      <c r="P747" s="2" t="str">
        <f t="shared" si="23"/>
        <v/>
      </c>
    </row>
    <row r="748" spans="1:16" x14ac:dyDescent="0.35">
      <c r="A748" s="2" t="s">
        <v>1512</v>
      </c>
      <c r="B748" s="2" t="s">
        <v>1513</v>
      </c>
      <c r="C748" s="3">
        <v>45563</v>
      </c>
      <c r="D748" s="2" t="s">
        <v>11</v>
      </c>
      <c r="E748" s="2" t="s">
        <v>24</v>
      </c>
      <c r="G748" s="2">
        <v>107.63</v>
      </c>
      <c r="I748" s="2" t="s">
        <v>13</v>
      </c>
      <c r="J748" s="2" t="str">
        <f t="shared" si="22"/>
        <v>Sep</v>
      </c>
      <c r="K7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48" s="2" t="b">
        <v>1</v>
      </c>
      <c r="P748" s="2" t="str">
        <f t="shared" si="23"/>
        <v/>
      </c>
    </row>
    <row r="749" spans="1:16" x14ac:dyDescent="0.35">
      <c r="A749" s="2" t="s">
        <v>1514</v>
      </c>
      <c r="B749" s="2" t="s">
        <v>1515</v>
      </c>
      <c r="C749" s="3">
        <v>45150</v>
      </c>
      <c r="D749" s="2" t="s">
        <v>11</v>
      </c>
      <c r="E749" s="2" t="s">
        <v>24</v>
      </c>
      <c r="G749" s="2">
        <v>33.78</v>
      </c>
      <c r="I749" s="2" t="s">
        <v>21</v>
      </c>
      <c r="J749" s="2" t="str">
        <f t="shared" si="22"/>
        <v>Aug</v>
      </c>
      <c r="K74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49" s="2" t="b">
        <v>1</v>
      </c>
      <c r="P749" s="2">
        <f t="shared" si="23"/>
        <v>1798.7400000000002</v>
      </c>
    </row>
    <row r="750" spans="1:16" x14ac:dyDescent="0.35">
      <c r="A750" s="2" t="s">
        <v>1516</v>
      </c>
      <c r="B750" s="2" t="s">
        <v>1517</v>
      </c>
      <c r="C750" s="3">
        <v>45500</v>
      </c>
      <c r="D750" s="2" t="s">
        <v>69</v>
      </c>
      <c r="E750" s="2" t="s">
        <v>28</v>
      </c>
      <c r="F750" s="2">
        <v>9</v>
      </c>
      <c r="G750" s="2">
        <v>199.86</v>
      </c>
      <c r="H750" s="2">
        <v>1798.74</v>
      </c>
      <c r="I750" s="2" t="s">
        <v>38</v>
      </c>
      <c r="J750" s="2" t="str">
        <f t="shared" si="22"/>
        <v>Jul</v>
      </c>
      <c r="K750" s="4">
        <f>IF(AND(ISNUMBER(Lab2_Dataset[[#This Row],[Revenue]]), ISNUMBER(Lab2_Dataset[[#This Row],[Quantity]]), Lab2_Dataset[[#This Row],[Quantity]]&lt;&gt;0), Lab2_Dataset[[#This Row],[Revenue]]/Lab2_Dataset[[#This Row],[Quantity]], "")</f>
        <v>199.86</v>
      </c>
      <c r="O750" s="2" t="b">
        <v>0</v>
      </c>
      <c r="P750" s="2">
        <f t="shared" si="23"/>
        <v>542.42999999999995</v>
      </c>
    </row>
    <row r="751" spans="1:16" x14ac:dyDescent="0.35">
      <c r="A751" s="2" t="s">
        <v>1518</v>
      </c>
      <c r="B751" s="2" t="s">
        <v>1519</v>
      </c>
      <c r="C751" s="3">
        <v>45050</v>
      </c>
      <c r="D751" s="2" t="s">
        <v>11</v>
      </c>
      <c r="E751" s="2" t="s">
        <v>24</v>
      </c>
      <c r="F751" s="2">
        <v>7</v>
      </c>
      <c r="G751" s="2">
        <v>77.489999999999995</v>
      </c>
      <c r="H751" s="2">
        <v>542.42999999999995</v>
      </c>
      <c r="I751" s="2" t="s">
        <v>31</v>
      </c>
      <c r="J751" s="2" t="str">
        <f t="shared" si="22"/>
        <v>May</v>
      </c>
      <c r="K751" s="4">
        <f>IF(AND(ISNUMBER(Lab2_Dataset[[#This Row],[Revenue]]), ISNUMBER(Lab2_Dataset[[#This Row],[Quantity]]), Lab2_Dataset[[#This Row],[Quantity]]&lt;&gt;0), Lab2_Dataset[[#This Row],[Revenue]]/Lab2_Dataset[[#This Row],[Quantity]], "")</f>
        <v>77.489999999999995</v>
      </c>
      <c r="O751" s="2" t="b">
        <v>0</v>
      </c>
      <c r="P751" s="2" t="str">
        <f t="shared" si="23"/>
        <v/>
      </c>
    </row>
    <row r="752" spans="1:16" x14ac:dyDescent="0.35">
      <c r="A752" s="2" t="s">
        <v>1520</v>
      </c>
      <c r="B752" s="2" t="s">
        <v>1521</v>
      </c>
      <c r="C752" s="3">
        <v>45461</v>
      </c>
      <c r="D752" s="2" t="s">
        <v>69</v>
      </c>
      <c r="E752" s="2" t="s">
        <v>12</v>
      </c>
      <c r="G752" s="2">
        <v>61.38</v>
      </c>
      <c r="I752" s="2" t="s">
        <v>21</v>
      </c>
      <c r="J752" s="2" t="str">
        <f t="shared" si="22"/>
        <v>Jun</v>
      </c>
      <c r="K7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2" s="2" t="b">
        <v>1</v>
      </c>
      <c r="P752" s="2" t="str">
        <f t="shared" si="23"/>
        <v/>
      </c>
    </row>
    <row r="753" spans="1:16" x14ac:dyDescent="0.35">
      <c r="A753" s="2" t="s">
        <v>1522</v>
      </c>
      <c r="B753" s="2" t="s">
        <v>1523</v>
      </c>
      <c r="C753" s="3">
        <v>45366</v>
      </c>
      <c r="D753" s="2" t="s">
        <v>27</v>
      </c>
      <c r="E753" s="2" t="s">
        <v>28</v>
      </c>
      <c r="G753" s="2">
        <v>197.87</v>
      </c>
      <c r="I753" s="2" t="s">
        <v>38</v>
      </c>
      <c r="J753" s="2" t="str">
        <f t="shared" si="22"/>
        <v>Mar</v>
      </c>
      <c r="K7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3" s="2" t="b">
        <v>1</v>
      </c>
      <c r="P753" s="2">
        <f t="shared" si="23"/>
        <v>1135.5999999999999</v>
      </c>
    </row>
    <row r="754" spans="1:16" x14ac:dyDescent="0.35">
      <c r="A754" s="2" t="s">
        <v>1524</v>
      </c>
      <c r="B754" s="2" t="s">
        <v>1525</v>
      </c>
      <c r="C754" s="3">
        <v>45645</v>
      </c>
      <c r="D754" s="2" t="s">
        <v>34</v>
      </c>
      <c r="E754" s="2" t="s">
        <v>28</v>
      </c>
      <c r="F754" s="2">
        <v>8</v>
      </c>
      <c r="G754" s="2">
        <v>141.94999999999999</v>
      </c>
      <c r="H754" s="2">
        <v>1135.5999999999999</v>
      </c>
      <c r="I754" s="2" t="s">
        <v>31</v>
      </c>
      <c r="J754" s="2" t="str">
        <f t="shared" si="22"/>
        <v>Dec</v>
      </c>
      <c r="K754" s="4">
        <f>IF(AND(ISNUMBER(Lab2_Dataset[[#This Row],[Revenue]]), ISNUMBER(Lab2_Dataset[[#This Row],[Quantity]]), Lab2_Dataset[[#This Row],[Quantity]]&lt;&gt;0), Lab2_Dataset[[#This Row],[Revenue]]/Lab2_Dataset[[#This Row],[Quantity]], "")</f>
        <v>141.94999999999999</v>
      </c>
      <c r="O754" s="2" t="b">
        <v>0</v>
      </c>
      <c r="P754" s="2" t="str">
        <f t="shared" si="23"/>
        <v/>
      </c>
    </row>
    <row r="755" spans="1:16" x14ac:dyDescent="0.35">
      <c r="A755" s="2" t="s">
        <v>1526</v>
      </c>
      <c r="B755" s="2" t="s">
        <v>1527</v>
      </c>
      <c r="C755" s="3">
        <v>45605</v>
      </c>
      <c r="D755" s="2" t="s">
        <v>37</v>
      </c>
      <c r="E755" s="2" t="s">
        <v>24</v>
      </c>
      <c r="G755" s="2">
        <v>71.78</v>
      </c>
      <c r="I755" s="2" t="s">
        <v>17</v>
      </c>
      <c r="J755" s="2" t="str">
        <f t="shared" si="22"/>
        <v>Nov</v>
      </c>
      <c r="K7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5" s="2" t="b">
        <v>1</v>
      </c>
      <c r="P755" s="2" t="str">
        <f t="shared" si="23"/>
        <v/>
      </c>
    </row>
    <row r="756" spans="1:16" x14ac:dyDescent="0.35">
      <c r="A756" s="2" t="s">
        <v>1528</v>
      </c>
      <c r="B756" s="2" t="s">
        <v>1529</v>
      </c>
      <c r="C756" s="3">
        <v>45332</v>
      </c>
      <c r="D756" s="2" t="s">
        <v>37</v>
      </c>
      <c r="E756" s="2" t="s">
        <v>16</v>
      </c>
      <c r="G756" s="2">
        <v>73.489999999999995</v>
      </c>
      <c r="I756" s="2" t="s">
        <v>52</v>
      </c>
      <c r="J756" s="2" t="str">
        <f t="shared" si="22"/>
        <v>Feb</v>
      </c>
      <c r="K75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6" s="2" t="b">
        <v>1</v>
      </c>
      <c r="P756" s="2">
        <f t="shared" si="23"/>
        <v>1035.52</v>
      </c>
    </row>
    <row r="757" spans="1:16" x14ac:dyDescent="0.35">
      <c r="A757" s="2" t="s">
        <v>1530</v>
      </c>
      <c r="B757" s="2" t="s">
        <v>1531</v>
      </c>
      <c r="C757" s="3">
        <v>45539</v>
      </c>
      <c r="D757" s="2" t="s">
        <v>27</v>
      </c>
      <c r="E757" s="2" t="s">
        <v>28</v>
      </c>
      <c r="F757" s="2">
        <v>8</v>
      </c>
      <c r="G757" s="2">
        <v>129.44</v>
      </c>
      <c r="H757" s="2">
        <v>1035.52</v>
      </c>
      <c r="I757" s="2" t="s">
        <v>38</v>
      </c>
      <c r="J757" s="2" t="str">
        <f t="shared" si="22"/>
        <v>Sep</v>
      </c>
      <c r="K757" s="4">
        <f>IF(AND(ISNUMBER(Lab2_Dataset[[#This Row],[Revenue]]), ISNUMBER(Lab2_Dataset[[#This Row],[Quantity]]), Lab2_Dataset[[#This Row],[Quantity]]&lt;&gt;0), Lab2_Dataset[[#This Row],[Revenue]]/Lab2_Dataset[[#This Row],[Quantity]], "")</f>
        <v>129.44</v>
      </c>
      <c r="O757" s="2" t="b">
        <v>0</v>
      </c>
      <c r="P757" s="2" t="str">
        <f t="shared" si="23"/>
        <v/>
      </c>
    </row>
    <row r="758" spans="1:16" x14ac:dyDescent="0.35">
      <c r="A758" s="2" t="s">
        <v>1532</v>
      </c>
      <c r="B758" s="2" t="s">
        <v>1533</v>
      </c>
      <c r="C758" s="3">
        <v>45639</v>
      </c>
      <c r="D758" s="2" t="s">
        <v>27</v>
      </c>
      <c r="E758" s="2" t="s">
        <v>47</v>
      </c>
      <c r="G758" s="2">
        <v>175.55</v>
      </c>
      <c r="I758" s="2" t="s">
        <v>38</v>
      </c>
      <c r="J758" s="2" t="str">
        <f t="shared" si="22"/>
        <v>Dec</v>
      </c>
      <c r="K75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8" s="2" t="b">
        <v>1</v>
      </c>
      <c r="P758" s="2" t="str">
        <f t="shared" si="23"/>
        <v/>
      </c>
    </row>
    <row r="759" spans="1:16" x14ac:dyDescent="0.35">
      <c r="A759" s="2" t="s">
        <v>1534</v>
      </c>
      <c r="B759" s="2" t="s">
        <v>1535</v>
      </c>
      <c r="C759" s="3">
        <v>45109</v>
      </c>
      <c r="D759" s="2" t="s">
        <v>34</v>
      </c>
      <c r="E759" s="2" t="s">
        <v>28</v>
      </c>
      <c r="G759" s="2">
        <v>194.62</v>
      </c>
      <c r="I759" s="2" t="s">
        <v>21</v>
      </c>
      <c r="J759" s="2" t="str">
        <f t="shared" si="22"/>
        <v>Jul</v>
      </c>
      <c r="K7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59" s="2" t="b">
        <v>1</v>
      </c>
      <c r="P759" s="2">
        <f t="shared" si="23"/>
        <v>176</v>
      </c>
    </row>
    <row r="760" spans="1:16" x14ac:dyDescent="0.35">
      <c r="A760" s="2" t="s">
        <v>1536</v>
      </c>
      <c r="B760" s="2" t="s">
        <v>1537</v>
      </c>
      <c r="C760" s="3">
        <v>45406</v>
      </c>
      <c r="D760" s="2" t="s">
        <v>11</v>
      </c>
      <c r="E760" s="2" t="s">
        <v>28</v>
      </c>
      <c r="F760" s="2">
        <v>4</v>
      </c>
      <c r="G760" s="2">
        <v>44</v>
      </c>
      <c r="H760" s="2">
        <v>176</v>
      </c>
      <c r="I760" s="2" t="s">
        <v>52</v>
      </c>
      <c r="J760" s="2" t="str">
        <f t="shared" si="22"/>
        <v>Apr</v>
      </c>
      <c r="K760" s="4">
        <f>IF(AND(ISNUMBER(Lab2_Dataset[[#This Row],[Revenue]]), ISNUMBER(Lab2_Dataset[[#This Row],[Quantity]]), Lab2_Dataset[[#This Row],[Quantity]]&lt;&gt;0), Lab2_Dataset[[#This Row],[Revenue]]/Lab2_Dataset[[#This Row],[Quantity]], "")</f>
        <v>44</v>
      </c>
      <c r="O760" s="2" t="b">
        <v>0</v>
      </c>
      <c r="P760" s="2">
        <f t="shared" si="23"/>
        <v>504.68</v>
      </c>
    </row>
    <row r="761" spans="1:16" x14ac:dyDescent="0.35">
      <c r="A761" s="2" t="s">
        <v>1538</v>
      </c>
      <c r="B761" s="2" t="s">
        <v>1539</v>
      </c>
      <c r="C761" s="3">
        <v>45332</v>
      </c>
      <c r="D761" s="2" t="s">
        <v>34</v>
      </c>
      <c r="E761" s="2" t="s">
        <v>12</v>
      </c>
      <c r="F761" s="2">
        <v>4</v>
      </c>
      <c r="G761" s="2">
        <v>126.17</v>
      </c>
      <c r="H761" s="2">
        <v>504.68</v>
      </c>
      <c r="I761" s="2" t="s">
        <v>52</v>
      </c>
      <c r="J761" s="2" t="str">
        <f t="shared" si="22"/>
        <v>Feb</v>
      </c>
      <c r="K761" s="4">
        <f>IF(AND(ISNUMBER(Lab2_Dataset[[#This Row],[Revenue]]), ISNUMBER(Lab2_Dataset[[#This Row],[Quantity]]), Lab2_Dataset[[#This Row],[Quantity]]&lt;&gt;0), Lab2_Dataset[[#This Row],[Revenue]]/Lab2_Dataset[[#This Row],[Quantity]], "")</f>
        <v>126.17</v>
      </c>
      <c r="O761" s="2" t="b">
        <v>0</v>
      </c>
      <c r="P761" s="2" t="str">
        <f t="shared" si="23"/>
        <v/>
      </c>
    </row>
    <row r="762" spans="1:16" x14ac:dyDescent="0.35">
      <c r="A762" s="2" t="s">
        <v>1540</v>
      </c>
      <c r="B762" s="2" t="s">
        <v>1541</v>
      </c>
      <c r="C762" s="3">
        <v>45479</v>
      </c>
      <c r="D762" s="2" t="s">
        <v>20</v>
      </c>
      <c r="E762" s="2" t="s">
        <v>16</v>
      </c>
      <c r="G762" s="2">
        <v>99.74</v>
      </c>
      <c r="I762" s="2" t="s">
        <v>17</v>
      </c>
      <c r="J762" s="2" t="str">
        <f t="shared" si="22"/>
        <v>Jul</v>
      </c>
      <c r="K76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2" s="2" t="b">
        <v>1</v>
      </c>
      <c r="P762" s="2">
        <f t="shared" si="23"/>
        <v>881.69999999999993</v>
      </c>
    </row>
    <row r="763" spans="1:16" x14ac:dyDescent="0.35">
      <c r="A763" s="2" t="s">
        <v>1542</v>
      </c>
      <c r="B763" s="2" t="s">
        <v>1543</v>
      </c>
      <c r="C763" s="3">
        <v>45260</v>
      </c>
      <c r="D763" s="2" t="s">
        <v>27</v>
      </c>
      <c r="E763" s="2" t="s">
        <v>12</v>
      </c>
      <c r="F763" s="2">
        <v>6</v>
      </c>
      <c r="G763" s="2">
        <v>146.94999999999999</v>
      </c>
      <c r="H763" s="2">
        <v>881.7</v>
      </c>
      <c r="I763" s="2" t="s">
        <v>21</v>
      </c>
      <c r="J763" s="2" t="str">
        <f t="shared" si="22"/>
        <v>Nov</v>
      </c>
      <c r="K763" s="4">
        <f>IF(AND(ISNUMBER(Lab2_Dataset[[#This Row],[Revenue]]), ISNUMBER(Lab2_Dataset[[#This Row],[Quantity]]), Lab2_Dataset[[#This Row],[Quantity]]&lt;&gt;0), Lab2_Dataset[[#This Row],[Revenue]]/Lab2_Dataset[[#This Row],[Quantity]], "")</f>
        <v>146.95000000000002</v>
      </c>
      <c r="O763" s="2" t="b">
        <v>0</v>
      </c>
      <c r="P763" s="2" t="str">
        <f t="shared" si="23"/>
        <v/>
      </c>
    </row>
    <row r="764" spans="1:16" x14ac:dyDescent="0.35">
      <c r="A764" s="2" t="s">
        <v>1544</v>
      </c>
      <c r="B764" s="2" t="s">
        <v>1545</v>
      </c>
      <c r="C764" s="3">
        <v>45070</v>
      </c>
      <c r="D764" s="2" t="s">
        <v>37</v>
      </c>
      <c r="E764" s="2" t="s">
        <v>12</v>
      </c>
      <c r="G764" s="2">
        <v>16.170000000000002</v>
      </c>
      <c r="I764" s="2" t="s">
        <v>52</v>
      </c>
      <c r="J764" s="2" t="str">
        <f t="shared" si="22"/>
        <v>May</v>
      </c>
      <c r="K7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4" s="2" t="b">
        <v>1</v>
      </c>
      <c r="P764" s="2" t="str">
        <f t="shared" si="23"/>
        <v/>
      </c>
    </row>
    <row r="765" spans="1:16" x14ac:dyDescent="0.35">
      <c r="A765" s="2" t="s">
        <v>1546</v>
      </c>
      <c r="B765" s="2" t="s">
        <v>1547</v>
      </c>
      <c r="C765" s="3">
        <v>45501</v>
      </c>
      <c r="D765" s="2" t="s">
        <v>37</v>
      </c>
      <c r="E765" s="2" t="s">
        <v>24</v>
      </c>
      <c r="G765" s="2">
        <v>121.66</v>
      </c>
      <c r="I765" s="2" t="s">
        <v>17</v>
      </c>
      <c r="J765" s="2" t="str">
        <f t="shared" si="22"/>
        <v>Jul</v>
      </c>
      <c r="K7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5" s="2" t="b">
        <v>1</v>
      </c>
      <c r="P765" s="2" t="str">
        <f t="shared" si="23"/>
        <v/>
      </c>
    </row>
    <row r="766" spans="1:16" x14ac:dyDescent="0.35">
      <c r="A766" s="2" t="s">
        <v>1548</v>
      </c>
      <c r="B766" s="2" t="s">
        <v>1549</v>
      </c>
      <c r="C766" s="3">
        <v>45235</v>
      </c>
      <c r="D766" s="2" t="s">
        <v>34</v>
      </c>
      <c r="E766" s="2" t="s">
        <v>28</v>
      </c>
      <c r="G766" s="2">
        <v>41.4</v>
      </c>
      <c r="I766" s="2" t="s">
        <v>52</v>
      </c>
      <c r="J766" s="2" t="str">
        <f t="shared" si="22"/>
        <v>Nov</v>
      </c>
      <c r="K7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6" s="2" t="b">
        <v>1</v>
      </c>
      <c r="P766" s="2" t="str">
        <f t="shared" si="23"/>
        <v/>
      </c>
    </row>
    <row r="767" spans="1:16" x14ac:dyDescent="0.35">
      <c r="A767" s="2" t="s">
        <v>1550</v>
      </c>
      <c r="B767" s="2" t="s">
        <v>1551</v>
      </c>
      <c r="C767" s="3">
        <v>45144</v>
      </c>
      <c r="D767" s="2" t="s">
        <v>11</v>
      </c>
      <c r="E767" s="2" t="s">
        <v>47</v>
      </c>
      <c r="G767" s="2">
        <v>69.319999999999993</v>
      </c>
      <c r="I767" s="2" t="s">
        <v>17</v>
      </c>
      <c r="J767" s="2" t="str">
        <f t="shared" si="22"/>
        <v>Aug</v>
      </c>
      <c r="K76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7" s="2" t="b">
        <v>1</v>
      </c>
      <c r="P767" s="2">
        <f t="shared" si="23"/>
        <v>555.48</v>
      </c>
    </row>
    <row r="768" spans="1:16" x14ac:dyDescent="0.35">
      <c r="A768" s="2" t="s">
        <v>1552</v>
      </c>
      <c r="B768" s="2" t="s">
        <v>1553</v>
      </c>
      <c r="C768" s="3">
        <v>45220</v>
      </c>
      <c r="D768" s="2" t="s">
        <v>34</v>
      </c>
      <c r="E768" s="2" t="s">
        <v>28</v>
      </c>
      <c r="F768" s="2">
        <v>9</v>
      </c>
      <c r="G768" s="2">
        <v>61.72</v>
      </c>
      <c r="H768" s="2">
        <v>555.48</v>
      </c>
      <c r="I768" s="2" t="s">
        <v>17</v>
      </c>
      <c r="J768" s="2" t="str">
        <f t="shared" si="22"/>
        <v>Oct</v>
      </c>
      <c r="K768" s="4">
        <f>IF(AND(ISNUMBER(Lab2_Dataset[[#This Row],[Revenue]]), ISNUMBER(Lab2_Dataset[[#This Row],[Quantity]]), Lab2_Dataset[[#This Row],[Quantity]]&lt;&gt;0), Lab2_Dataset[[#This Row],[Revenue]]/Lab2_Dataset[[#This Row],[Quantity]], "")</f>
        <v>61.72</v>
      </c>
      <c r="O768" s="2" t="b">
        <v>0</v>
      </c>
      <c r="P768" s="2" t="str">
        <f t="shared" si="23"/>
        <v/>
      </c>
    </row>
    <row r="769" spans="1:16" x14ac:dyDescent="0.35">
      <c r="A769" s="2" t="s">
        <v>1554</v>
      </c>
      <c r="B769" s="2" t="s">
        <v>1555</v>
      </c>
      <c r="C769" s="3">
        <v>45387</v>
      </c>
      <c r="D769" s="2" t="s">
        <v>37</v>
      </c>
      <c r="E769" s="2" t="s">
        <v>47</v>
      </c>
      <c r="G769" s="2">
        <v>16.670000000000002</v>
      </c>
      <c r="I769" s="2" t="s">
        <v>13</v>
      </c>
      <c r="J769" s="2" t="str">
        <f t="shared" si="22"/>
        <v>Apr</v>
      </c>
      <c r="K7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69" s="2" t="b">
        <v>1</v>
      </c>
      <c r="P769" s="2">
        <f t="shared" si="23"/>
        <v>1264.8800000000001</v>
      </c>
    </row>
    <row r="770" spans="1:16" x14ac:dyDescent="0.35">
      <c r="A770" s="2" t="s">
        <v>1556</v>
      </c>
      <c r="B770" s="2" t="s">
        <v>1557</v>
      </c>
      <c r="C770" s="3">
        <v>45668</v>
      </c>
      <c r="D770" s="2" t="s">
        <v>69</v>
      </c>
      <c r="E770" s="2" t="s">
        <v>28</v>
      </c>
      <c r="F770" s="2">
        <v>8</v>
      </c>
      <c r="G770" s="2">
        <v>158.11000000000001</v>
      </c>
      <c r="H770" s="2">
        <v>1264.8800000000001</v>
      </c>
      <c r="I770" s="2" t="s">
        <v>21</v>
      </c>
      <c r="J770" s="2" t="str">
        <f t="shared" ref="J770:J833" si="24">TEXT(C770,"mmm")</f>
        <v>Jan</v>
      </c>
      <c r="K770" s="4">
        <f>IF(AND(ISNUMBER(Lab2_Dataset[[#This Row],[Revenue]]), ISNUMBER(Lab2_Dataset[[#This Row],[Quantity]]), Lab2_Dataset[[#This Row],[Quantity]]&lt;&gt;0), Lab2_Dataset[[#This Row],[Revenue]]/Lab2_Dataset[[#This Row],[Quantity]], "")</f>
        <v>158.11000000000001</v>
      </c>
      <c r="O770" s="2" t="b">
        <v>0</v>
      </c>
      <c r="P770" s="2" t="str">
        <f t="shared" si="23"/>
        <v/>
      </c>
    </row>
    <row r="771" spans="1:16" x14ac:dyDescent="0.35">
      <c r="A771" s="2" t="s">
        <v>1558</v>
      </c>
      <c r="B771" s="2" t="s">
        <v>1559</v>
      </c>
      <c r="C771" s="3">
        <v>45061</v>
      </c>
      <c r="D771" s="2" t="s">
        <v>27</v>
      </c>
      <c r="E771" s="2" t="s">
        <v>16</v>
      </c>
      <c r="G771" s="2">
        <v>185.31</v>
      </c>
      <c r="I771" s="2" t="s">
        <v>31</v>
      </c>
      <c r="J771" s="2" t="str">
        <f t="shared" si="24"/>
        <v>May</v>
      </c>
      <c r="K77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1" s="2" t="b">
        <v>1</v>
      </c>
      <c r="P771" s="2" t="str">
        <f t="shared" ref="P771:P834" si="25">IF(O772=TRUE,"",F772*G772)</f>
        <v/>
      </c>
    </row>
    <row r="772" spans="1:16" x14ac:dyDescent="0.35">
      <c r="A772" s="2" t="s">
        <v>1560</v>
      </c>
      <c r="B772" s="2" t="s">
        <v>1561</v>
      </c>
      <c r="C772" s="3">
        <v>45600</v>
      </c>
      <c r="D772" s="2" t="s">
        <v>11</v>
      </c>
      <c r="E772" s="2" t="s">
        <v>24</v>
      </c>
      <c r="G772" s="2">
        <v>98.81</v>
      </c>
      <c r="I772" s="2" t="s">
        <v>13</v>
      </c>
      <c r="J772" s="2" t="str">
        <f t="shared" si="24"/>
        <v>Nov</v>
      </c>
      <c r="K7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2" s="2" t="b">
        <v>1</v>
      </c>
      <c r="P772" s="2">
        <f t="shared" si="25"/>
        <v>292.26</v>
      </c>
    </row>
    <row r="773" spans="1:16" x14ac:dyDescent="0.35">
      <c r="A773" s="2" t="s">
        <v>1562</v>
      </c>
      <c r="B773" s="2" t="s">
        <v>1563</v>
      </c>
      <c r="C773" s="3">
        <v>45415</v>
      </c>
      <c r="D773" s="2" t="s">
        <v>20</v>
      </c>
      <c r="E773" s="2" t="s">
        <v>47</v>
      </c>
      <c r="F773" s="2">
        <v>6</v>
      </c>
      <c r="G773" s="2">
        <v>48.71</v>
      </c>
      <c r="H773" s="2">
        <v>292.26</v>
      </c>
      <c r="I773" s="2" t="s">
        <v>21</v>
      </c>
      <c r="J773" s="2" t="str">
        <f t="shared" si="24"/>
        <v>May</v>
      </c>
      <c r="K773" s="4">
        <f>IF(AND(ISNUMBER(Lab2_Dataset[[#This Row],[Revenue]]), ISNUMBER(Lab2_Dataset[[#This Row],[Quantity]]), Lab2_Dataset[[#This Row],[Quantity]]&lt;&gt;0), Lab2_Dataset[[#This Row],[Revenue]]/Lab2_Dataset[[#This Row],[Quantity]], "")</f>
        <v>48.71</v>
      </c>
      <c r="O773" s="2" t="b">
        <v>0</v>
      </c>
      <c r="P773" s="2" t="str">
        <f t="shared" si="25"/>
        <v/>
      </c>
    </row>
    <row r="774" spans="1:16" x14ac:dyDescent="0.35">
      <c r="A774" s="2" t="s">
        <v>1564</v>
      </c>
      <c r="B774" s="2" t="s">
        <v>1565</v>
      </c>
      <c r="C774" s="3">
        <v>45247</v>
      </c>
      <c r="D774" s="2" t="s">
        <v>34</v>
      </c>
      <c r="E774" s="2" t="s">
        <v>24</v>
      </c>
      <c r="G774" s="2">
        <v>29.76</v>
      </c>
      <c r="I774" s="2" t="s">
        <v>52</v>
      </c>
      <c r="J774" s="2" t="str">
        <f t="shared" si="24"/>
        <v>Nov</v>
      </c>
      <c r="K77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4" s="2" t="b">
        <v>1</v>
      </c>
      <c r="P774" s="2">
        <f t="shared" si="25"/>
        <v>426.04</v>
      </c>
    </row>
    <row r="775" spans="1:16" x14ac:dyDescent="0.35">
      <c r="A775" s="2" t="s">
        <v>1566</v>
      </c>
      <c r="B775" s="2" t="s">
        <v>1567</v>
      </c>
      <c r="C775" s="3">
        <v>45090</v>
      </c>
      <c r="D775" s="2" t="s">
        <v>20</v>
      </c>
      <c r="E775" s="2" t="s">
        <v>24</v>
      </c>
      <c r="F775" s="2">
        <v>4</v>
      </c>
      <c r="G775" s="2">
        <v>106.51</v>
      </c>
      <c r="H775" s="2">
        <v>426.04</v>
      </c>
      <c r="I775" s="2" t="s">
        <v>38</v>
      </c>
      <c r="J775" s="2" t="str">
        <f t="shared" si="24"/>
        <v>Jun</v>
      </c>
      <c r="K775" s="4">
        <f>IF(AND(ISNUMBER(Lab2_Dataset[[#This Row],[Revenue]]), ISNUMBER(Lab2_Dataset[[#This Row],[Quantity]]), Lab2_Dataset[[#This Row],[Quantity]]&lt;&gt;0), Lab2_Dataset[[#This Row],[Revenue]]/Lab2_Dataset[[#This Row],[Quantity]], "")</f>
        <v>106.51</v>
      </c>
      <c r="O775" s="2" t="b">
        <v>0</v>
      </c>
      <c r="P775" s="2" t="str">
        <f t="shared" si="25"/>
        <v/>
      </c>
    </row>
    <row r="776" spans="1:16" x14ac:dyDescent="0.35">
      <c r="A776" s="2" t="s">
        <v>1568</v>
      </c>
      <c r="B776" s="2" t="s">
        <v>1569</v>
      </c>
      <c r="C776" s="3">
        <v>45589</v>
      </c>
      <c r="D776" s="2" t="s">
        <v>69</v>
      </c>
      <c r="E776" s="2" t="s">
        <v>16</v>
      </c>
      <c r="G776" s="2">
        <v>187.93</v>
      </c>
      <c r="I776" s="2" t="s">
        <v>31</v>
      </c>
      <c r="J776" s="2" t="str">
        <f t="shared" si="24"/>
        <v>Oct</v>
      </c>
      <c r="K77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6" s="2" t="b">
        <v>1</v>
      </c>
      <c r="P776" s="2" t="str">
        <f t="shared" si="25"/>
        <v/>
      </c>
    </row>
    <row r="777" spans="1:16" x14ac:dyDescent="0.35">
      <c r="A777" s="2" t="s">
        <v>1570</v>
      </c>
      <c r="B777" s="2" t="s">
        <v>1571</v>
      </c>
      <c r="C777" s="3">
        <v>45406</v>
      </c>
      <c r="D777" s="2" t="s">
        <v>11</v>
      </c>
      <c r="E777" s="2" t="s">
        <v>16</v>
      </c>
      <c r="G777" s="2">
        <v>125.38</v>
      </c>
      <c r="I777" s="2" t="s">
        <v>38</v>
      </c>
      <c r="J777" s="2" t="str">
        <f t="shared" si="24"/>
        <v>Apr</v>
      </c>
      <c r="K77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7" s="2" t="b">
        <v>1</v>
      </c>
      <c r="P777" s="2" t="str">
        <f t="shared" si="25"/>
        <v/>
      </c>
    </row>
    <row r="778" spans="1:16" x14ac:dyDescent="0.35">
      <c r="A778" s="2" t="s">
        <v>1572</v>
      </c>
      <c r="B778" s="2" t="s">
        <v>1573</v>
      </c>
      <c r="C778" s="3">
        <v>45691</v>
      </c>
      <c r="D778" s="2" t="s">
        <v>34</v>
      </c>
      <c r="E778" s="2" t="s">
        <v>47</v>
      </c>
      <c r="G778" s="2">
        <v>126.59</v>
      </c>
      <c r="I778" s="2" t="s">
        <v>13</v>
      </c>
      <c r="J778" s="2" t="str">
        <f t="shared" si="24"/>
        <v>Feb</v>
      </c>
      <c r="K77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78" s="2" t="b">
        <v>1</v>
      </c>
      <c r="P778" s="2">
        <f t="shared" si="25"/>
        <v>654.04</v>
      </c>
    </row>
    <row r="779" spans="1:16" x14ac:dyDescent="0.35">
      <c r="A779" s="2" t="s">
        <v>1574</v>
      </c>
      <c r="B779" s="2" t="s">
        <v>1575</v>
      </c>
      <c r="C779" s="3">
        <v>45221</v>
      </c>
      <c r="D779" s="2" t="s">
        <v>69</v>
      </c>
      <c r="E779" s="2" t="s">
        <v>12</v>
      </c>
      <c r="F779" s="2">
        <v>4</v>
      </c>
      <c r="G779" s="2">
        <v>163.51</v>
      </c>
      <c r="H779" s="2">
        <v>654.04</v>
      </c>
      <c r="I779" s="2" t="s">
        <v>31</v>
      </c>
      <c r="J779" s="2" t="str">
        <f t="shared" si="24"/>
        <v>Oct</v>
      </c>
      <c r="K779" s="4">
        <f>IF(AND(ISNUMBER(Lab2_Dataset[[#This Row],[Revenue]]), ISNUMBER(Lab2_Dataset[[#This Row],[Quantity]]), Lab2_Dataset[[#This Row],[Quantity]]&lt;&gt;0), Lab2_Dataset[[#This Row],[Revenue]]/Lab2_Dataset[[#This Row],[Quantity]], "")</f>
        <v>163.51</v>
      </c>
      <c r="O779" s="2" t="b">
        <v>0</v>
      </c>
      <c r="P779" s="2" t="str">
        <f t="shared" si="25"/>
        <v/>
      </c>
    </row>
    <row r="780" spans="1:16" x14ac:dyDescent="0.35">
      <c r="A780" s="2" t="s">
        <v>1576</v>
      </c>
      <c r="B780" s="2" t="s">
        <v>1577</v>
      </c>
      <c r="C780" s="3">
        <v>45217</v>
      </c>
      <c r="D780" s="2" t="s">
        <v>20</v>
      </c>
      <c r="E780" s="2" t="s">
        <v>16</v>
      </c>
      <c r="G780" s="2">
        <v>187.87</v>
      </c>
      <c r="I780" s="2" t="s">
        <v>31</v>
      </c>
      <c r="J780" s="2" t="str">
        <f t="shared" si="24"/>
        <v>Oct</v>
      </c>
      <c r="K78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0" s="2" t="b">
        <v>1</v>
      </c>
      <c r="P780" s="2" t="str">
        <f t="shared" si="25"/>
        <v/>
      </c>
    </row>
    <row r="781" spans="1:16" x14ac:dyDescent="0.35">
      <c r="A781" s="2" t="s">
        <v>1578</v>
      </c>
      <c r="B781" s="2" t="s">
        <v>1579</v>
      </c>
      <c r="C781" s="3">
        <v>45562</v>
      </c>
      <c r="D781" s="2" t="s">
        <v>37</v>
      </c>
      <c r="E781" s="2" t="s">
        <v>47</v>
      </c>
      <c r="G781" s="2">
        <v>74.260000000000005</v>
      </c>
      <c r="I781" s="2" t="s">
        <v>38</v>
      </c>
      <c r="J781" s="2" t="str">
        <f t="shared" si="24"/>
        <v>Sep</v>
      </c>
      <c r="K7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1" s="2" t="b">
        <v>1</v>
      </c>
      <c r="P781" s="2" t="str">
        <f t="shared" si="25"/>
        <v/>
      </c>
    </row>
    <row r="782" spans="1:16" x14ac:dyDescent="0.35">
      <c r="A782" s="2" t="s">
        <v>1580</v>
      </c>
      <c r="B782" s="2" t="s">
        <v>1581</v>
      </c>
      <c r="C782" s="3">
        <v>45236</v>
      </c>
      <c r="D782" s="2" t="s">
        <v>34</v>
      </c>
      <c r="E782" s="2" t="s">
        <v>24</v>
      </c>
      <c r="G782" s="2">
        <v>26.22</v>
      </c>
      <c r="I782" s="2" t="s">
        <v>21</v>
      </c>
      <c r="J782" s="2" t="str">
        <f t="shared" si="24"/>
        <v>Nov</v>
      </c>
      <c r="K78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2" s="2" t="b">
        <v>1</v>
      </c>
      <c r="P782" s="2">
        <f t="shared" si="25"/>
        <v>219.35</v>
      </c>
    </row>
    <row r="783" spans="1:16" x14ac:dyDescent="0.35">
      <c r="A783" s="2" t="s">
        <v>1582</v>
      </c>
      <c r="B783" s="2" t="s">
        <v>1583</v>
      </c>
      <c r="C783" s="3">
        <v>45519</v>
      </c>
      <c r="D783" s="2" t="s">
        <v>11</v>
      </c>
      <c r="E783" s="2" t="s">
        <v>24</v>
      </c>
      <c r="F783" s="2">
        <v>5</v>
      </c>
      <c r="G783" s="2">
        <v>43.87</v>
      </c>
      <c r="H783" s="2">
        <v>219.35</v>
      </c>
      <c r="I783" s="2" t="s">
        <v>38</v>
      </c>
      <c r="J783" s="2" t="str">
        <f t="shared" si="24"/>
        <v>Aug</v>
      </c>
      <c r="K783" s="4">
        <f>IF(AND(ISNUMBER(Lab2_Dataset[[#This Row],[Revenue]]), ISNUMBER(Lab2_Dataset[[#This Row],[Quantity]]), Lab2_Dataset[[#This Row],[Quantity]]&lt;&gt;0), Lab2_Dataset[[#This Row],[Revenue]]/Lab2_Dataset[[#This Row],[Quantity]], "")</f>
        <v>43.87</v>
      </c>
      <c r="O783" s="2" t="b">
        <v>0</v>
      </c>
      <c r="P783" s="2" t="str">
        <f t="shared" si="25"/>
        <v/>
      </c>
    </row>
    <row r="784" spans="1:16" x14ac:dyDescent="0.35">
      <c r="A784" s="2" t="s">
        <v>1584</v>
      </c>
      <c r="B784" s="2" t="s">
        <v>1585</v>
      </c>
      <c r="C784" s="3">
        <v>45741</v>
      </c>
      <c r="D784" s="2" t="s">
        <v>20</v>
      </c>
      <c r="E784" s="2" t="s">
        <v>28</v>
      </c>
      <c r="G784" s="2">
        <v>136.94999999999999</v>
      </c>
      <c r="I784" s="2" t="s">
        <v>52</v>
      </c>
      <c r="J784" s="2" t="str">
        <f t="shared" si="24"/>
        <v>Mar</v>
      </c>
      <c r="K78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4" s="2" t="b">
        <v>1</v>
      </c>
      <c r="P784" s="2">
        <f t="shared" si="25"/>
        <v>56.849999999999994</v>
      </c>
    </row>
    <row r="785" spans="1:16" x14ac:dyDescent="0.35">
      <c r="A785" s="2" t="s">
        <v>1586</v>
      </c>
      <c r="B785" s="2" t="s">
        <v>1587</v>
      </c>
      <c r="C785" s="3">
        <v>45453</v>
      </c>
      <c r="D785" s="2" t="s">
        <v>69</v>
      </c>
      <c r="E785" s="2" t="s">
        <v>24</v>
      </c>
      <c r="F785" s="2">
        <v>3</v>
      </c>
      <c r="G785" s="2">
        <v>18.95</v>
      </c>
      <c r="H785" s="2">
        <v>56.85</v>
      </c>
      <c r="I785" s="2" t="s">
        <v>52</v>
      </c>
      <c r="J785" s="2" t="str">
        <f t="shared" si="24"/>
        <v>Jun</v>
      </c>
      <c r="K785" s="4">
        <f>IF(AND(ISNUMBER(Lab2_Dataset[[#This Row],[Revenue]]), ISNUMBER(Lab2_Dataset[[#This Row],[Quantity]]), Lab2_Dataset[[#This Row],[Quantity]]&lt;&gt;0), Lab2_Dataset[[#This Row],[Revenue]]/Lab2_Dataset[[#This Row],[Quantity]], "")</f>
        <v>18.95</v>
      </c>
      <c r="O785" s="2" t="b">
        <v>0</v>
      </c>
      <c r="P785" s="2" t="str">
        <f t="shared" si="25"/>
        <v/>
      </c>
    </row>
    <row r="786" spans="1:16" x14ac:dyDescent="0.35">
      <c r="A786" s="2" t="s">
        <v>1588</v>
      </c>
      <c r="B786" s="2" t="s">
        <v>1589</v>
      </c>
      <c r="C786" s="3">
        <v>45516</v>
      </c>
      <c r="D786" s="2" t="s">
        <v>69</v>
      </c>
      <c r="E786" s="2" t="s">
        <v>47</v>
      </c>
      <c r="G786" s="2">
        <v>121.96</v>
      </c>
      <c r="I786" s="2" t="s">
        <v>38</v>
      </c>
      <c r="J786" s="2" t="str">
        <f t="shared" si="24"/>
        <v>Aug</v>
      </c>
      <c r="K7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6" s="2" t="b">
        <v>1</v>
      </c>
      <c r="P786" s="2" t="str">
        <f t="shared" si="25"/>
        <v/>
      </c>
    </row>
    <row r="787" spans="1:16" x14ac:dyDescent="0.35">
      <c r="A787" s="2" t="s">
        <v>1590</v>
      </c>
      <c r="B787" s="2" t="s">
        <v>1591</v>
      </c>
      <c r="C787" s="3">
        <v>45198</v>
      </c>
      <c r="D787" s="2" t="s">
        <v>34</v>
      </c>
      <c r="E787" s="2" t="s">
        <v>28</v>
      </c>
      <c r="G787" s="2">
        <v>31.2</v>
      </c>
      <c r="I787" s="2" t="s">
        <v>17</v>
      </c>
      <c r="J787" s="2" t="str">
        <f t="shared" si="24"/>
        <v>Sep</v>
      </c>
      <c r="K7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7" s="2" t="b">
        <v>1</v>
      </c>
      <c r="P787" s="2">
        <f t="shared" si="25"/>
        <v>341.06</v>
      </c>
    </row>
    <row r="788" spans="1:16" x14ac:dyDescent="0.35">
      <c r="A788" s="2" t="s">
        <v>1592</v>
      </c>
      <c r="B788" s="2" t="s">
        <v>1593</v>
      </c>
      <c r="C788" s="3">
        <v>45428</v>
      </c>
      <c r="D788" s="2" t="s">
        <v>34</v>
      </c>
      <c r="E788" s="2" t="s">
        <v>12</v>
      </c>
      <c r="F788" s="2">
        <v>2</v>
      </c>
      <c r="G788" s="2">
        <v>170.53</v>
      </c>
      <c r="H788" s="2">
        <v>341.06</v>
      </c>
      <c r="I788" s="2" t="s">
        <v>31</v>
      </c>
      <c r="J788" s="2" t="str">
        <f t="shared" si="24"/>
        <v>May</v>
      </c>
      <c r="K788" s="4">
        <f>IF(AND(ISNUMBER(Lab2_Dataset[[#This Row],[Revenue]]), ISNUMBER(Lab2_Dataset[[#This Row],[Quantity]]), Lab2_Dataset[[#This Row],[Quantity]]&lt;&gt;0), Lab2_Dataset[[#This Row],[Revenue]]/Lab2_Dataset[[#This Row],[Quantity]], "")</f>
        <v>170.53</v>
      </c>
      <c r="O788" s="2" t="b">
        <v>0</v>
      </c>
      <c r="P788" s="2" t="str">
        <f t="shared" si="25"/>
        <v/>
      </c>
    </row>
    <row r="789" spans="1:16" x14ac:dyDescent="0.35">
      <c r="A789" s="2" t="s">
        <v>1594</v>
      </c>
      <c r="B789" s="2" t="s">
        <v>1595</v>
      </c>
      <c r="C789" s="3">
        <v>45315</v>
      </c>
      <c r="D789" s="2" t="s">
        <v>27</v>
      </c>
      <c r="E789" s="2" t="s">
        <v>24</v>
      </c>
      <c r="G789" s="2">
        <v>65.510000000000005</v>
      </c>
      <c r="I789" s="2" t="s">
        <v>31</v>
      </c>
      <c r="J789" s="2" t="str">
        <f t="shared" si="24"/>
        <v>Jan</v>
      </c>
      <c r="K7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89" s="2" t="b">
        <v>1</v>
      </c>
      <c r="P789" s="2">
        <f t="shared" si="25"/>
        <v>417.29999999999995</v>
      </c>
    </row>
    <row r="790" spans="1:16" x14ac:dyDescent="0.35">
      <c r="A790" s="2" t="s">
        <v>1596</v>
      </c>
      <c r="B790" s="2" t="s">
        <v>1597</v>
      </c>
      <c r="C790" s="3">
        <v>45278</v>
      </c>
      <c r="D790" s="2" t="s">
        <v>27</v>
      </c>
      <c r="E790" s="2" t="s">
        <v>47</v>
      </c>
      <c r="F790" s="2">
        <v>5</v>
      </c>
      <c r="G790" s="2">
        <v>83.46</v>
      </c>
      <c r="H790" s="2">
        <v>417.3</v>
      </c>
      <c r="I790" s="2" t="s">
        <v>31</v>
      </c>
      <c r="J790" s="2" t="str">
        <f t="shared" si="24"/>
        <v>Dec</v>
      </c>
      <c r="K790" s="4">
        <f>IF(AND(ISNUMBER(Lab2_Dataset[[#This Row],[Revenue]]), ISNUMBER(Lab2_Dataset[[#This Row],[Quantity]]), Lab2_Dataset[[#This Row],[Quantity]]&lt;&gt;0), Lab2_Dataset[[#This Row],[Revenue]]/Lab2_Dataset[[#This Row],[Quantity]], "")</f>
        <v>83.460000000000008</v>
      </c>
      <c r="O790" s="2" t="b">
        <v>0</v>
      </c>
      <c r="P790" s="2">
        <f t="shared" si="25"/>
        <v>953.81999999999994</v>
      </c>
    </row>
    <row r="791" spans="1:16" x14ac:dyDescent="0.35">
      <c r="A791" s="2" t="s">
        <v>1598</v>
      </c>
      <c r="B791" s="2" t="s">
        <v>1599</v>
      </c>
      <c r="C791" s="3">
        <v>45601</v>
      </c>
      <c r="D791" s="2" t="s">
        <v>37</v>
      </c>
      <c r="E791" s="2" t="s">
        <v>12</v>
      </c>
      <c r="F791" s="2">
        <v>7</v>
      </c>
      <c r="G791" s="2">
        <v>136.26</v>
      </c>
      <c r="H791" s="2">
        <v>953.82</v>
      </c>
      <c r="I791" s="2" t="s">
        <v>52</v>
      </c>
      <c r="J791" s="2" t="str">
        <f t="shared" si="24"/>
        <v>Nov</v>
      </c>
      <c r="K791" s="4">
        <f>IF(AND(ISNUMBER(Lab2_Dataset[[#This Row],[Revenue]]), ISNUMBER(Lab2_Dataset[[#This Row],[Quantity]]), Lab2_Dataset[[#This Row],[Quantity]]&lt;&gt;0), Lab2_Dataset[[#This Row],[Revenue]]/Lab2_Dataset[[#This Row],[Quantity]], "")</f>
        <v>136.26000000000002</v>
      </c>
      <c r="O791" s="2" t="b">
        <v>0</v>
      </c>
      <c r="P791" s="2" t="str">
        <f t="shared" si="25"/>
        <v/>
      </c>
    </row>
    <row r="792" spans="1:16" x14ac:dyDescent="0.35">
      <c r="A792" s="2" t="s">
        <v>1600</v>
      </c>
      <c r="B792" s="2" t="s">
        <v>1601</v>
      </c>
      <c r="C792" s="3">
        <v>45123</v>
      </c>
      <c r="D792" s="2" t="s">
        <v>27</v>
      </c>
      <c r="E792" s="2" t="s">
        <v>12</v>
      </c>
      <c r="G792" s="2">
        <v>164.24</v>
      </c>
      <c r="I792" s="2" t="s">
        <v>13</v>
      </c>
      <c r="J792" s="2" t="str">
        <f t="shared" si="24"/>
        <v>Jul</v>
      </c>
      <c r="K79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2" s="2" t="b">
        <v>1</v>
      </c>
      <c r="P792" s="2" t="str">
        <f t="shared" si="25"/>
        <v/>
      </c>
    </row>
    <row r="793" spans="1:16" x14ac:dyDescent="0.35">
      <c r="A793" s="2" t="s">
        <v>1602</v>
      </c>
      <c r="B793" s="2" t="s">
        <v>1603</v>
      </c>
      <c r="C793" s="3">
        <v>45775</v>
      </c>
      <c r="D793" s="2" t="s">
        <v>34</v>
      </c>
      <c r="E793" s="2" t="s">
        <v>28</v>
      </c>
      <c r="G793" s="2">
        <v>38.85</v>
      </c>
      <c r="I793" s="2" t="s">
        <v>17</v>
      </c>
      <c r="J793" s="2" t="str">
        <f t="shared" si="24"/>
        <v>Apr</v>
      </c>
      <c r="K7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3" s="2" t="b">
        <v>1</v>
      </c>
      <c r="P793" s="2" t="str">
        <f t="shared" si="25"/>
        <v/>
      </c>
    </row>
    <row r="794" spans="1:16" x14ac:dyDescent="0.35">
      <c r="A794" s="2" t="s">
        <v>1604</v>
      </c>
      <c r="B794" s="2" t="s">
        <v>1605</v>
      </c>
      <c r="C794" s="3">
        <v>45613</v>
      </c>
      <c r="D794" s="2" t="s">
        <v>34</v>
      </c>
      <c r="E794" s="2" t="s">
        <v>24</v>
      </c>
      <c r="G794" s="2">
        <v>112.31</v>
      </c>
      <c r="I794" s="2" t="s">
        <v>52</v>
      </c>
      <c r="J794" s="2" t="str">
        <f t="shared" si="24"/>
        <v>Nov</v>
      </c>
      <c r="K7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4" s="2" t="b">
        <v>1</v>
      </c>
      <c r="P794" s="2">
        <f t="shared" si="25"/>
        <v>720.92</v>
      </c>
    </row>
    <row r="795" spans="1:16" x14ac:dyDescent="0.35">
      <c r="A795" s="2" t="s">
        <v>1606</v>
      </c>
      <c r="B795" s="2" t="s">
        <v>1607</v>
      </c>
      <c r="C795" s="3">
        <v>45254</v>
      </c>
      <c r="D795" s="2" t="s">
        <v>69</v>
      </c>
      <c r="E795" s="2" t="s">
        <v>24</v>
      </c>
      <c r="F795" s="2">
        <v>4</v>
      </c>
      <c r="G795" s="2">
        <v>180.23</v>
      </c>
      <c r="I795" s="2" t="s">
        <v>38</v>
      </c>
      <c r="J795" s="2" t="str">
        <f t="shared" si="24"/>
        <v>Nov</v>
      </c>
      <c r="K79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5" s="2" t="b">
        <v>0</v>
      </c>
      <c r="P795" s="2">
        <f t="shared" si="25"/>
        <v>67.81</v>
      </c>
    </row>
    <row r="796" spans="1:16" x14ac:dyDescent="0.35">
      <c r="A796" s="2" t="s">
        <v>1608</v>
      </c>
      <c r="B796" s="2" t="s">
        <v>1609</v>
      </c>
      <c r="C796" s="3">
        <v>45676</v>
      </c>
      <c r="D796" s="2" t="s">
        <v>37</v>
      </c>
      <c r="E796" s="2" t="s">
        <v>28</v>
      </c>
      <c r="F796" s="2">
        <v>1</v>
      </c>
      <c r="G796" s="2">
        <v>67.81</v>
      </c>
      <c r="H796" s="2">
        <v>67.81</v>
      </c>
      <c r="I796" s="2" t="s">
        <v>17</v>
      </c>
      <c r="J796" s="2" t="str">
        <f t="shared" si="24"/>
        <v>Jan</v>
      </c>
      <c r="K796" s="4">
        <f>IF(AND(ISNUMBER(Lab2_Dataset[[#This Row],[Revenue]]), ISNUMBER(Lab2_Dataset[[#This Row],[Quantity]]), Lab2_Dataset[[#This Row],[Quantity]]&lt;&gt;0), Lab2_Dataset[[#This Row],[Revenue]]/Lab2_Dataset[[#This Row],[Quantity]], "")</f>
        <v>67.81</v>
      </c>
      <c r="O796" s="2" t="b">
        <v>0</v>
      </c>
      <c r="P796" s="2" t="str">
        <f t="shared" si="25"/>
        <v/>
      </c>
    </row>
    <row r="797" spans="1:16" x14ac:dyDescent="0.35">
      <c r="A797" s="2" t="s">
        <v>1610</v>
      </c>
      <c r="B797" s="2" t="s">
        <v>1611</v>
      </c>
      <c r="C797" s="3">
        <v>45429</v>
      </c>
      <c r="D797" s="2" t="s">
        <v>11</v>
      </c>
      <c r="E797" s="2" t="s">
        <v>24</v>
      </c>
      <c r="G797" s="2">
        <v>44.94</v>
      </c>
      <c r="I797" s="2" t="s">
        <v>31</v>
      </c>
      <c r="J797" s="2" t="str">
        <f t="shared" si="24"/>
        <v>May</v>
      </c>
      <c r="K79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7" s="2" t="b">
        <v>1</v>
      </c>
      <c r="P797" s="2" t="str">
        <f t="shared" si="25"/>
        <v/>
      </c>
    </row>
    <row r="798" spans="1:16" x14ac:dyDescent="0.35">
      <c r="A798" s="2" t="s">
        <v>1612</v>
      </c>
      <c r="B798" s="2" t="s">
        <v>1613</v>
      </c>
      <c r="C798" s="3">
        <v>45095</v>
      </c>
      <c r="D798" s="2" t="s">
        <v>69</v>
      </c>
      <c r="E798" s="2" t="s">
        <v>16</v>
      </c>
      <c r="G798" s="2">
        <v>24.6</v>
      </c>
      <c r="I798" s="2" t="s">
        <v>31</v>
      </c>
      <c r="J798" s="2" t="str">
        <f t="shared" si="24"/>
        <v>Jun</v>
      </c>
      <c r="K79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798" s="2" t="b">
        <v>1</v>
      </c>
      <c r="P798" s="2">
        <f t="shared" si="25"/>
        <v>118.76</v>
      </c>
    </row>
    <row r="799" spans="1:16" x14ac:dyDescent="0.35">
      <c r="A799" s="2" t="s">
        <v>1614</v>
      </c>
      <c r="B799" s="2" t="s">
        <v>1615</v>
      </c>
      <c r="C799" s="3">
        <v>45076</v>
      </c>
      <c r="D799" s="2" t="s">
        <v>34</v>
      </c>
      <c r="E799" s="2" t="s">
        <v>28</v>
      </c>
      <c r="F799" s="2">
        <v>1</v>
      </c>
      <c r="G799" s="2">
        <v>118.76</v>
      </c>
      <c r="H799" s="2">
        <v>118.76</v>
      </c>
      <c r="I799" s="2" t="s">
        <v>17</v>
      </c>
      <c r="J799" s="2" t="str">
        <f t="shared" si="24"/>
        <v>May</v>
      </c>
      <c r="K799" s="4">
        <f>IF(AND(ISNUMBER(Lab2_Dataset[[#This Row],[Revenue]]), ISNUMBER(Lab2_Dataset[[#This Row],[Quantity]]), Lab2_Dataset[[#This Row],[Quantity]]&lt;&gt;0), Lab2_Dataset[[#This Row],[Revenue]]/Lab2_Dataset[[#This Row],[Quantity]], "")</f>
        <v>118.76</v>
      </c>
      <c r="O799" s="2" t="b">
        <v>0</v>
      </c>
      <c r="P799" s="2">
        <f t="shared" si="25"/>
        <v>233.64000000000001</v>
      </c>
    </row>
    <row r="800" spans="1:16" x14ac:dyDescent="0.35">
      <c r="A800" s="2" t="s">
        <v>1616</v>
      </c>
      <c r="B800" s="2" t="s">
        <v>1617</v>
      </c>
      <c r="C800" s="3">
        <v>45108</v>
      </c>
      <c r="D800" s="2" t="s">
        <v>11</v>
      </c>
      <c r="E800" s="2" t="s">
        <v>12</v>
      </c>
      <c r="F800" s="2">
        <v>9</v>
      </c>
      <c r="G800" s="2">
        <v>25.96</v>
      </c>
      <c r="H800" s="2">
        <v>233.64</v>
      </c>
      <c r="I800" s="2" t="s">
        <v>21</v>
      </c>
      <c r="J800" s="2" t="str">
        <f t="shared" si="24"/>
        <v>Jul</v>
      </c>
      <c r="K800" s="4">
        <f>IF(AND(ISNUMBER(Lab2_Dataset[[#This Row],[Revenue]]), ISNUMBER(Lab2_Dataset[[#This Row],[Quantity]]), Lab2_Dataset[[#This Row],[Quantity]]&lt;&gt;0), Lab2_Dataset[[#This Row],[Revenue]]/Lab2_Dataset[[#This Row],[Quantity]], "")</f>
        <v>25.959999999999997</v>
      </c>
      <c r="O800" s="2" t="b">
        <v>0</v>
      </c>
      <c r="P800" s="2">
        <f t="shared" si="25"/>
        <v>1383.36</v>
      </c>
    </row>
    <row r="801" spans="1:16" x14ac:dyDescent="0.35">
      <c r="A801" s="2" t="s">
        <v>1618</v>
      </c>
      <c r="B801" s="2" t="s">
        <v>1619</v>
      </c>
      <c r="C801" s="3">
        <v>45431</v>
      </c>
      <c r="D801" s="2" t="s">
        <v>37</v>
      </c>
      <c r="E801" s="2" t="s">
        <v>28</v>
      </c>
      <c r="F801" s="2">
        <v>8</v>
      </c>
      <c r="G801" s="2">
        <v>172.92</v>
      </c>
      <c r="H801" s="2">
        <v>1383.36</v>
      </c>
      <c r="I801" s="2" t="s">
        <v>13</v>
      </c>
      <c r="J801" s="2" t="str">
        <f t="shared" si="24"/>
        <v>May</v>
      </c>
      <c r="K801" s="4">
        <f>IF(AND(ISNUMBER(Lab2_Dataset[[#This Row],[Revenue]]), ISNUMBER(Lab2_Dataset[[#This Row],[Quantity]]), Lab2_Dataset[[#This Row],[Quantity]]&lt;&gt;0), Lab2_Dataset[[#This Row],[Revenue]]/Lab2_Dataset[[#This Row],[Quantity]], "")</f>
        <v>172.92</v>
      </c>
      <c r="O801" s="2" t="b">
        <v>0</v>
      </c>
      <c r="P801" s="2" t="str">
        <f t="shared" si="25"/>
        <v/>
      </c>
    </row>
    <row r="802" spans="1:16" x14ac:dyDescent="0.35">
      <c r="A802" s="2" t="s">
        <v>1620</v>
      </c>
      <c r="B802" s="2" t="s">
        <v>1621</v>
      </c>
      <c r="C802" s="3">
        <v>45556</v>
      </c>
      <c r="D802" s="2" t="s">
        <v>37</v>
      </c>
      <c r="E802" s="2" t="s">
        <v>47</v>
      </c>
      <c r="G802" s="2">
        <v>128.53</v>
      </c>
      <c r="I802" s="2" t="s">
        <v>38</v>
      </c>
      <c r="J802" s="2" t="str">
        <f t="shared" si="24"/>
        <v>Sep</v>
      </c>
      <c r="K80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2" s="2" t="b">
        <v>1</v>
      </c>
      <c r="P802" s="2" t="str">
        <f t="shared" si="25"/>
        <v/>
      </c>
    </row>
    <row r="803" spans="1:16" x14ac:dyDescent="0.35">
      <c r="A803" s="2" t="s">
        <v>1622</v>
      </c>
      <c r="B803" s="2" t="s">
        <v>1623</v>
      </c>
      <c r="C803" s="3">
        <v>45426</v>
      </c>
      <c r="D803" s="2" t="s">
        <v>69</v>
      </c>
      <c r="E803" s="2" t="s">
        <v>16</v>
      </c>
      <c r="G803" s="2">
        <v>126.95</v>
      </c>
      <c r="I803" s="2" t="s">
        <v>38</v>
      </c>
      <c r="J803" s="2" t="str">
        <f t="shared" si="24"/>
        <v>May</v>
      </c>
      <c r="K80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3" s="2" t="b">
        <v>1</v>
      </c>
      <c r="P803" s="2" t="str">
        <f t="shared" si="25"/>
        <v/>
      </c>
    </row>
    <row r="804" spans="1:16" x14ac:dyDescent="0.35">
      <c r="A804" s="2" t="s">
        <v>1624</v>
      </c>
      <c r="B804" s="2" t="s">
        <v>1625</v>
      </c>
      <c r="C804" s="3">
        <v>45744</v>
      </c>
      <c r="D804" s="2" t="s">
        <v>20</v>
      </c>
      <c r="E804" s="2" t="s">
        <v>47</v>
      </c>
      <c r="G804" s="2">
        <v>185.6</v>
      </c>
      <c r="I804" s="2" t="s">
        <v>31</v>
      </c>
      <c r="J804" s="2" t="str">
        <f t="shared" si="24"/>
        <v>Mar</v>
      </c>
      <c r="K80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4" s="2" t="b">
        <v>1</v>
      </c>
      <c r="P804" s="2" t="str">
        <f t="shared" si="25"/>
        <v/>
      </c>
    </row>
    <row r="805" spans="1:16" x14ac:dyDescent="0.35">
      <c r="A805" s="2" t="s">
        <v>1626</v>
      </c>
      <c r="B805" s="2" t="s">
        <v>1627</v>
      </c>
      <c r="C805" s="3">
        <v>45631</v>
      </c>
      <c r="D805" s="2" t="s">
        <v>37</v>
      </c>
      <c r="E805" s="2" t="s">
        <v>24</v>
      </c>
      <c r="G805" s="2">
        <v>120.65</v>
      </c>
      <c r="I805" s="2" t="s">
        <v>17</v>
      </c>
      <c r="J805" s="2" t="str">
        <f t="shared" si="24"/>
        <v>Dec</v>
      </c>
      <c r="K80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5" s="2" t="b">
        <v>1</v>
      </c>
      <c r="P805" s="2" t="str">
        <f t="shared" si="25"/>
        <v/>
      </c>
    </row>
    <row r="806" spans="1:16" x14ac:dyDescent="0.35">
      <c r="A806" s="2" t="s">
        <v>1628</v>
      </c>
      <c r="B806" s="2" t="s">
        <v>1629</v>
      </c>
      <c r="C806" s="3">
        <v>45476</v>
      </c>
      <c r="D806" s="2" t="s">
        <v>69</v>
      </c>
      <c r="E806" s="2" t="s">
        <v>24</v>
      </c>
      <c r="G806" s="2">
        <v>117.27</v>
      </c>
      <c r="I806" s="2" t="s">
        <v>31</v>
      </c>
      <c r="J806" s="2" t="str">
        <f t="shared" si="24"/>
        <v>Jul</v>
      </c>
      <c r="K80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6" s="2" t="b">
        <v>1</v>
      </c>
      <c r="P806" s="2" t="str">
        <f t="shared" si="25"/>
        <v/>
      </c>
    </row>
    <row r="807" spans="1:16" x14ac:dyDescent="0.35">
      <c r="A807" s="2" t="s">
        <v>1630</v>
      </c>
      <c r="B807" s="2" t="s">
        <v>1631</v>
      </c>
      <c r="C807" s="3">
        <v>45386</v>
      </c>
      <c r="D807" s="2" t="s">
        <v>69</v>
      </c>
      <c r="E807" s="2" t="s">
        <v>16</v>
      </c>
      <c r="G807" s="2">
        <v>183.51</v>
      </c>
      <c r="I807" s="2" t="s">
        <v>38</v>
      </c>
      <c r="J807" s="2" t="str">
        <f t="shared" si="24"/>
        <v>Apr</v>
      </c>
      <c r="K8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7" s="2" t="b">
        <v>1</v>
      </c>
      <c r="P807" s="2">
        <f t="shared" si="25"/>
        <v>810.19999999999993</v>
      </c>
    </row>
    <row r="808" spans="1:16" x14ac:dyDescent="0.35">
      <c r="A808" s="2" t="s">
        <v>1632</v>
      </c>
      <c r="B808" s="2" t="s">
        <v>1633</v>
      </c>
      <c r="C808" s="3">
        <v>45080</v>
      </c>
      <c r="D808" s="2" t="s">
        <v>20</v>
      </c>
      <c r="E808" s="2" t="s">
        <v>16</v>
      </c>
      <c r="F808" s="2">
        <v>5</v>
      </c>
      <c r="G808" s="2">
        <v>162.04</v>
      </c>
      <c r="H808" s="2">
        <v>810.2</v>
      </c>
      <c r="I808" s="2" t="s">
        <v>38</v>
      </c>
      <c r="J808" s="2" t="str">
        <f t="shared" si="24"/>
        <v>Jun</v>
      </c>
      <c r="K808" s="4">
        <f>IF(AND(ISNUMBER(Lab2_Dataset[[#This Row],[Revenue]]), ISNUMBER(Lab2_Dataset[[#This Row],[Quantity]]), Lab2_Dataset[[#This Row],[Quantity]]&lt;&gt;0), Lab2_Dataset[[#This Row],[Revenue]]/Lab2_Dataset[[#This Row],[Quantity]], "")</f>
        <v>162.04000000000002</v>
      </c>
      <c r="O808" s="2" t="b">
        <v>0</v>
      </c>
      <c r="P808" s="2" t="str">
        <f t="shared" si="25"/>
        <v/>
      </c>
    </row>
    <row r="809" spans="1:16" x14ac:dyDescent="0.35">
      <c r="A809" s="2" t="s">
        <v>1634</v>
      </c>
      <c r="B809" s="2" t="s">
        <v>1635</v>
      </c>
      <c r="C809" s="3">
        <v>45524</v>
      </c>
      <c r="D809" s="2" t="s">
        <v>69</v>
      </c>
      <c r="E809" s="2" t="s">
        <v>16</v>
      </c>
      <c r="G809" s="2">
        <v>125.25</v>
      </c>
      <c r="I809" s="2" t="s">
        <v>21</v>
      </c>
      <c r="J809" s="2" t="str">
        <f t="shared" si="24"/>
        <v>Aug</v>
      </c>
      <c r="K80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09" s="2" t="b">
        <v>1</v>
      </c>
      <c r="P809" s="2">
        <f t="shared" si="25"/>
        <v>609.12000000000012</v>
      </c>
    </row>
    <row r="810" spans="1:16" x14ac:dyDescent="0.35">
      <c r="A810" s="2" t="s">
        <v>1636</v>
      </c>
      <c r="B810" s="2" t="s">
        <v>1637</v>
      </c>
      <c r="C810" s="3">
        <v>45477</v>
      </c>
      <c r="D810" s="2" t="s">
        <v>27</v>
      </c>
      <c r="E810" s="2" t="s">
        <v>16</v>
      </c>
      <c r="F810" s="2">
        <v>9</v>
      </c>
      <c r="G810" s="2">
        <v>67.680000000000007</v>
      </c>
      <c r="H810" s="2">
        <v>609.12</v>
      </c>
      <c r="I810" s="2" t="s">
        <v>52</v>
      </c>
      <c r="J810" s="2" t="str">
        <f t="shared" si="24"/>
        <v>Jul</v>
      </c>
      <c r="K810" s="4">
        <f>IF(AND(ISNUMBER(Lab2_Dataset[[#This Row],[Revenue]]), ISNUMBER(Lab2_Dataset[[#This Row],[Quantity]]), Lab2_Dataset[[#This Row],[Quantity]]&lt;&gt;0), Lab2_Dataset[[#This Row],[Revenue]]/Lab2_Dataset[[#This Row],[Quantity]], "")</f>
        <v>67.680000000000007</v>
      </c>
      <c r="O810" s="2" t="b">
        <v>0</v>
      </c>
      <c r="P810" s="2">
        <f t="shared" si="25"/>
        <v>358.18</v>
      </c>
    </row>
    <row r="811" spans="1:16" x14ac:dyDescent="0.35">
      <c r="A811" s="2" t="s">
        <v>1638</v>
      </c>
      <c r="B811" s="2" t="s">
        <v>1639</v>
      </c>
      <c r="C811" s="3">
        <v>45202</v>
      </c>
      <c r="D811" s="2" t="s">
        <v>34</v>
      </c>
      <c r="E811" s="2" t="s">
        <v>16</v>
      </c>
      <c r="F811" s="2">
        <v>2</v>
      </c>
      <c r="G811" s="2">
        <v>179.09</v>
      </c>
      <c r="H811" s="2">
        <v>358.18</v>
      </c>
      <c r="I811" s="2" t="s">
        <v>13</v>
      </c>
      <c r="J811" s="2" t="str">
        <f t="shared" si="24"/>
        <v>Oct</v>
      </c>
      <c r="K811" s="4">
        <f>IF(AND(ISNUMBER(Lab2_Dataset[[#This Row],[Revenue]]), ISNUMBER(Lab2_Dataset[[#This Row],[Quantity]]), Lab2_Dataset[[#This Row],[Quantity]]&lt;&gt;0), Lab2_Dataset[[#This Row],[Revenue]]/Lab2_Dataset[[#This Row],[Quantity]], "")</f>
        <v>179.09</v>
      </c>
      <c r="O811" s="2" t="b">
        <v>0</v>
      </c>
      <c r="P811" s="2" t="str">
        <f t="shared" si="25"/>
        <v/>
      </c>
    </row>
    <row r="812" spans="1:16" x14ac:dyDescent="0.35">
      <c r="A812" s="2" t="s">
        <v>1640</v>
      </c>
      <c r="B812" s="2" t="s">
        <v>1641</v>
      </c>
      <c r="C812" s="3">
        <v>45650</v>
      </c>
      <c r="D812" s="2" t="s">
        <v>27</v>
      </c>
      <c r="E812" s="2" t="s">
        <v>24</v>
      </c>
      <c r="G812" s="2">
        <v>149.38</v>
      </c>
      <c r="I812" s="2" t="s">
        <v>52</v>
      </c>
      <c r="J812" s="2" t="str">
        <f t="shared" si="24"/>
        <v>Dec</v>
      </c>
      <c r="K81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2" s="2" t="b">
        <v>1</v>
      </c>
      <c r="P812" s="2">
        <f t="shared" si="25"/>
        <v>88.83</v>
      </c>
    </row>
    <row r="813" spans="1:16" x14ac:dyDescent="0.35">
      <c r="A813" s="2" t="s">
        <v>1642</v>
      </c>
      <c r="B813" s="2" t="s">
        <v>1643</v>
      </c>
      <c r="C813" s="3">
        <v>45339</v>
      </c>
      <c r="D813" s="2" t="s">
        <v>11</v>
      </c>
      <c r="E813" s="2" t="s">
        <v>47</v>
      </c>
      <c r="F813" s="2">
        <v>3</v>
      </c>
      <c r="G813" s="2">
        <v>29.61</v>
      </c>
      <c r="H813" s="2">
        <v>88.83</v>
      </c>
      <c r="I813" s="2" t="s">
        <v>13</v>
      </c>
      <c r="J813" s="2" t="str">
        <f t="shared" si="24"/>
        <v>Feb</v>
      </c>
      <c r="K813" s="4">
        <f>IF(AND(ISNUMBER(Lab2_Dataset[[#This Row],[Revenue]]), ISNUMBER(Lab2_Dataset[[#This Row],[Quantity]]), Lab2_Dataset[[#This Row],[Quantity]]&lt;&gt;0), Lab2_Dataset[[#This Row],[Revenue]]/Lab2_Dataset[[#This Row],[Quantity]], "")</f>
        <v>29.61</v>
      </c>
      <c r="O813" s="2" t="b">
        <v>0</v>
      </c>
      <c r="P813" s="2" t="str">
        <f t="shared" si="25"/>
        <v/>
      </c>
    </row>
    <row r="814" spans="1:16" x14ac:dyDescent="0.35">
      <c r="A814" s="2" t="s">
        <v>1644</v>
      </c>
      <c r="B814" s="2" t="s">
        <v>1645</v>
      </c>
      <c r="C814" s="3">
        <v>45628</v>
      </c>
      <c r="D814" s="2" t="s">
        <v>11</v>
      </c>
      <c r="E814" s="2" t="s">
        <v>16</v>
      </c>
      <c r="G814" s="2">
        <v>34.86</v>
      </c>
      <c r="I814" s="2" t="s">
        <v>21</v>
      </c>
      <c r="J814" s="2" t="str">
        <f t="shared" si="24"/>
        <v>Dec</v>
      </c>
      <c r="K81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4" s="2" t="b">
        <v>1</v>
      </c>
      <c r="P814" s="2">
        <f t="shared" si="25"/>
        <v>1543.6</v>
      </c>
    </row>
    <row r="815" spans="1:16" x14ac:dyDescent="0.35">
      <c r="A815" s="2" t="s">
        <v>1646</v>
      </c>
      <c r="B815" s="2" t="s">
        <v>1647</v>
      </c>
      <c r="C815" s="3">
        <v>45296</v>
      </c>
      <c r="D815" s="2" t="s">
        <v>37</v>
      </c>
      <c r="E815" s="2" t="s">
        <v>12</v>
      </c>
      <c r="F815" s="2">
        <v>8</v>
      </c>
      <c r="G815" s="2">
        <v>192.95</v>
      </c>
      <c r="H815" s="2">
        <v>1543.6</v>
      </c>
      <c r="I815" s="2" t="s">
        <v>38</v>
      </c>
      <c r="J815" s="2" t="str">
        <f t="shared" si="24"/>
        <v>Jan</v>
      </c>
      <c r="K815" s="4">
        <f>IF(AND(ISNUMBER(Lab2_Dataset[[#This Row],[Revenue]]), ISNUMBER(Lab2_Dataset[[#This Row],[Quantity]]), Lab2_Dataset[[#This Row],[Quantity]]&lt;&gt;0), Lab2_Dataset[[#This Row],[Revenue]]/Lab2_Dataset[[#This Row],[Quantity]], "")</f>
        <v>192.95</v>
      </c>
      <c r="O815" s="2" t="b">
        <v>0</v>
      </c>
      <c r="P815" s="2" t="str">
        <f t="shared" si="25"/>
        <v/>
      </c>
    </row>
    <row r="816" spans="1:16" x14ac:dyDescent="0.35">
      <c r="A816" s="2" t="s">
        <v>1648</v>
      </c>
      <c r="B816" s="2" t="s">
        <v>1649</v>
      </c>
      <c r="C816" s="3">
        <v>45770</v>
      </c>
      <c r="D816" s="2" t="s">
        <v>34</v>
      </c>
      <c r="E816" s="2" t="s">
        <v>12</v>
      </c>
      <c r="G816" s="2">
        <v>63.13</v>
      </c>
      <c r="I816" s="2" t="s">
        <v>21</v>
      </c>
      <c r="J816" s="2" t="str">
        <f t="shared" si="24"/>
        <v>Apr</v>
      </c>
      <c r="K81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6" s="2" t="b">
        <v>1</v>
      </c>
      <c r="P816" s="2" t="str">
        <f t="shared" si="25"/>
        <v/>
      </c>
    </row>
    <row r="817" spans="1:16" x14ac:dyDescent="0.35">
      <c r="A817" s="2" t="s">
        <v>1650</v>
      </c>
      <c r="B817" s="2" t="s">
        <v>1651</v>
      </c>
      <c r="C817" s="3">
        <v>45346</v>
      </c>
      <c r="D817" s="2" t="s">
        <v>37</v>
      </c>
      <c r="E817" s="2" t="s">
        <v>28</v>
      </c>
      <c r="G817" s="2">
        <v>197.05</v>
      </c>
      <c r="I817" s="2" t="s">
        <v>38</v>
      </c>
      <c r="J817" s="2" t="str">
        <f t="shared" si="24"/>
        <v>Feb</v>
      </c>
      <c r="K8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7" s="2" t="b">
        <v>1</v>
      </c>
      <c r="P817" s="2" t="str">
        <f t="shared" si="25"/>
        <v/>
      </c>
    </row>
    <row r="818" spans="1:16" x14ac:dyDescent="0.35">
      <c r="A818" s="2" t="s">
        <v>1652</v>
      </c>
      <c r="B818" s="2" t="s">
        <v>1653</v>
      </c>
      <c r="C818" s="3">
        <v>45404</v>
      </c>
      <c r="D818" s="2" t="s">
        <v>37</v>
      </c>
      <c r="E818" s="2" t="s">
        <v>12</v>
      </c>
      <c r="G818" s="2">
        <v>57.7</v>
      </c>
      <c r="I818" s="2" t="s">
        <v>31</v>
      </c>
      <c r="J818" s="2" t="str">
        <f t="shared" si="24"/>
        <v>Apr</v>
      </c>
      <c r="K81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8" s="2" t="b">
        <v>1</v>
      </c>
      <c r="P818" s="2" t="str">
        <f t="shared" si="25"/>
        <v/>
      </c>
    </row>
    <row r="819" spans="1:16" x14ac:dyDescent="0.35">
      <c r="A819" s="2" t="s">
        <v>1654</v>
      </c>
      <c r="B819" s="2" t="s">
        <v>1655</v>
      </c>
      <c r="C819" s="3">
        <v>45691</v>
      </c>
      <c r="D819" s="2" t="s">
        <v>37</v>
      </c>
      <c r="E819" s="2" t="s">
        <v>12</v>
      </c>
      <c r="G819" s="2">
        <v>183.97</v>
      </c>
      <c r="I819" s="2" t="s">
        <v>21</v>
      </c>
      <c r="J819" s="2" t="str">
        <f t="shared" si="24"/>
        <v>Feb</v>
      </c>
      <c r="K81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19" s="2" t="b">
        <v>1</v>
      </c>
      <c r="P819" s="2">
        <f t="shared" si="25"/>
        <v>365.43</v>
      </c>
    </row>
    <row r="820" spans="1:16" x14ac:dyDescent="0.35">
      <c r="A820" s="2" t="s">
        <v>1656</v>
      </c>
      <c r="B820" s="2" t="s">
        <v>1657</v>
      </c>
      <c r="C820" s="3">
        <v>45464</v>
      </c>
      <c r="D820" s="2" t="s">
        <v>37</v>
      </c>
      <c r="E820" s="2" t="s">
        <v>47</v>
      </c>
      <c r="F820" s="2">
        <v>3</v>
      </c>
      <c r="G820" s="2">
        <v>121.81</v>
      </c>
      <c r="H820" s="2">
        <v>365.43</v>
      </c>
      <c r="I820" s="2" t="s">
        <v>52</v>
      </c>
      <c r="J820" s="2" t="str">
        <f t="shared" si="24"/>
        <v>Jun</v>
      </c>
      <c r="K820" s="4">
        <f>IF(AND(ISNUMBER(Lab2_Dataset[[#This Row],[Revenue]]), ISNUMBER(Lab2_Dataset[[#This Row],[Quantity]]), Lab2_Dataset[[#This Row],[Quantity]]&lt;&gt;0), Lab2_Dataset[[#This Row],[Revenue]]/Lab2_Dataset[[#This Row],[Quantity]], "")</f>
        <v>121.81</v>
      </c>
      <c r="O820" s="2" t="b">
        <v>0</v>
      </c>
      <c r="P820" s="2">
        <f t="shared" si="25"/>
        <v>728.75</v>
      </c>
    </row>
    <row r="821" spans="1:16" x14ac:dyDescent="0.35">
      <c r="A821" s="2" t="s">
        <v>1658</v>
      </c>
      <c r="B821" s="2" t="s">
        <v>1659</v>
      </c>
      <c r="C821" s="3">
        <v>45101</v>
      </c>
      <c r="D821" s="2" t="s">
        <v>37</v>
      </c>
      <c r="E821" s="2" t="s">
        <v>47</v>
      </c>
      <c r="F821" s="2">
        <v>5</v>
      </c>
      <c r="G821" s="2">
        <v>145.75</v>
      </c>
      <c r="H821" s="2">
        <v>728.75</v>
      </c>
      <c r="I821" s="2" t="s">
        <v>13</v>
      </c>
      <c r="J821" s="2" t="str">
        <f t="shared" si="24"/>
        <v>Jun</v>
      </c>
      <c r="K821" s="4">
        <f>IF(AND(ISNUMBER(Lab2_Dataset[[#This Row],[Revenue]]), ISNUMBER(Lab2_Dataset[[#This Row],[Quantity]]), Lab2_Dataset[[#This Row],[Quantity]]&lt;&gt;0), Lab2_Dataset[[#This Row],[Revenue]]/Lab2_Dataset[[#This Row],[Quantity]], "")</f>
        <v>145.75</v>
      </c>
      <c r="O821" s="2" t="b">
        <v>0</v>
      </c>
      <c r="P821" s="2" t="str">
        <f t="shared" si="25"/>
        <v/>
      </c>
    </row>
    <row r="822" spans="1:16" x14ac:dyDescent="0.35">
      <c r="A822" s="2" t="s">
        <v>1660</v>
      </c>
      <c r="B822" s="2" t="s">
        <v>1661</v>
      </c>
      <c r="C822" s="3">
        <v>45180</v>
      </c>
      <c r="D822" s="2" t="s">
        <v>27</v>
      </c>
      <c r="E822" s="2" t="s">
        <v>47</v>
      </c>
      <c r="G822" s="2">
        <v>22.01</v>
      </c>
      <c r="I822" s="2" t="s">
        <v>38</v>
      </c>
      <c r="J822" s="2" t="str">
        <f t="shared" si="24"/>
        <v>Sep</v>
      </c>
      <c r="K82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22" s="2" t="b">
        <v>1</v>
      </c>
      <c r="P822" s="2">
        <f t="shared" si="25"/>
        <v>788.05000000000007</v>
      </c>
    </row>
    <row r="823" spans="1:16" x14ac:dyDescent="0.35">
      <c r="A823" s="2" t="s">
        <v>1662</v>
      </c>
      <c r="B823" s="2" t="s">
        <v>1663</v>
      </c>
      <c r="C823" s="3">
        <v>45069</v>
      </c>
      <c r="D823" s="2" t="s">
        <v>11</v>
      </c>
      <c r="E823" s="2" t="s">
        <v>24</v>
      </c>
      <c r="F823" s="2">
        <v>5</v>
      </c>
      <c r="G823" s="2">
        <v>157.61000000000001</v>
      </c>
      <c r="H823" s="2">
        <v>788.05</v>
      </c>
      <c r="I823" s="2" t="s">
        <v>38</v>
      </c>
      <c r="J823" s="2" t="str">
        <f t="shared" si="24"/>
        <v>May</v>
      </c>
      <c r="K823" s="4">
        <f>IF(AND(ISNUMBER(Lab2_Dataset[[#This Row],[Revenue]]), ISNUMBER(Lab2_Dataset[[#This Row],[Quantity]]), Lab2_Dataset[[#This Row],[Quantity]]&lt;&gt;0), Lab2_Dataset[[#This Row],[Revenue]]/Lab2_Dataset[[#This Row],[Quantity]], "")</f>
        <v>157.60999999999999</v>
      </c>
      <c r="O823" s="2" t="b">
        <v>0</v>
      </c>
      <c r="P823" s="2" t="str">
        <f t="shared" si="25"/>
        <v/>
      </c>
    </row>
    <row r="824" spans="1:16" x14ac:dyDescent="0.35">
      <c r="A824" s="2" t="s">
        <v>1664</v>
      </c>
      <c r="B824" s="2" t="s">
        <v>1665</v>
      </c>
      <c r="C824" s="3">
        <v>45169</v>
      </c>
      <c r="D824" s="2" t="s">
        <v>11</v>
      </c>
      <c r="E824" s="2" t="s">
        <v>24</v>
      </c>
      <c r="G824" s="2">
        <v>45.58</v>
      </c>
      <c r="I824" s="2" t="s">
        <v>17</v>
      </c>
      <c r="J824" s="2" t="str">
        <f t="shared" si="24"/>
        <v>Aug</v>
      </c>
      <c r="K82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24" s="2" t="b">
        <v>1</v>
      </c>
      <c r="P824" s="2">
        <f t="shared" si="25"/>
        <v>291.52</v>
      </c>
    </row>
    <row r="825" spans="1:16" x14ac:dyDescent="0.35">
      <c r="A825" s="2" t="s">
        <v>1666</v>
      </c>
      <c r="B825" s="2" t="s">
        <v>1667</v>
      </c>
      <c r="C825" s="3">
        <v>45089</v>
      </c>
      <c r="D825" s="2" t="s">
        <v>20</v>
      </c>
      <c r="E825" s="2" t="s">
        <v>28</v>
      </c>
      <c r="F825" s="2">
        <v>4</v>
      </c>
      <c r="G825" s="2">
        <v>72.88</v>
      </c>
      <c r="H825" s="2">
        <v>291.52</v>
      </c>
      <c r="I825" s="2" t="s">
        <v>38</v>
      </c>
      <c r="J825" s="2" t="str">
        <f t="shared" si="24"/>
        <v>Jun</v>
      </c>
      <c r="K825" s="4">
        <f>IF(AND(ISNUMBER(Lab2_Dataset[[#This Row],[Revenue]]), ISNUMBER(Lab2_Dataset[[#This Row],[Quantity]]), Lab2_Dataset[[#This Row],[Quantity]]&lt;&gt;0), Lab2_Dataset[[#This Row],[Revenue]]/Lab2_Dataset[[#This Row],[Quantity]], "")</f>
        <v>72.88</v>
      </c>
      <c r="O825" s="2" t="b">
        <v>0</v>
      </c>
      <c r="P825" s="2">
        <f t="shared" si="25"/>
        <v>893.87999999999988</v>
      </c>
    </row>
    <row r="826" spans="1:16" x14ac:dyDescent="0.35">
      <c r="A826" s="2" t="s">
        <v>1668</v>
      </c>
      <c r="B826" s="2" t="s">
        <v>1669</v>
      </c>
      <c r="C826" s="3">
        <v>45233</v>
      </c>
      <c r="D826" s="2" t="s">
        <v>34</v>
      </c>
      <c r="E826" s="2" t="s">
        <v>28</v>
      </c>
      <c r="F826" s="2">
        <v>9</v>
      </c>
      <c r="G826" s="2">
        <v>99.32</v>
      </c>
      <c r="H826" s="2">
        <v>893.88</v>
      </c>
      <c r="I826" s="2" t="s">
        <v>52</v>
      </c>
      <c r="J826" s="2" t="str">
        <f t="shared" si="24"/>
        <v>Nov</v>
      </c>
      <c r="K826" s="4">
        <f>IF(AND(ISNUMBER(Lab2_Dataset[[#This Row],[Revenue]]), ISNUMBER(Lab2_Dataset[[#This Row],[Quantity]]), Lab2_Dataset[[#This Row],[Quantity]]&lt;&gt;0), Lab2_Dataset[[#This Row],[Revenue]]/Lab2_Dataset[[#This Row],[Quantity]], "")</f>
        <v>99.32</v>
      </c>
      <c r="O826" s="2" t="b">
        <v>0</v>
      </c>
      <c r="P826" s="2">
        <f t="shared" si="25"/>
        <v>1563.21</v>
      </c>
    </row>
    <row r="827" spans="1:16" x14ac:dyDescent="0.35">
      <c r="A827" s="2" t="s">
        <v>1670</v>
      </c>
      <c r="B827" s="2" t="s">
        <v>1671</v>
      </c>
      <c r="C827" s="3">
        <v>45193</v>
      </c>
      <c r="D827" s="2" t="s">
        <v>11</v>
      </c>
      <c r="E827" s="2" t="s">
        <v>47</v>
      </c>
      <c r="F827" s="2">
        <v>9</v>
      </c>
      <c r="G827" s="2">
        <v>173.69</v>
      </c>
      <c r="H827" s="2">
        <v>1563.21</v>
      </c>
      <c r="I827" s="2" t="s">
        <v>31</v>
      </c>
      <c r="J827" s="2" t="str">
        <f t="shared" si="24"/>
        <v>Sep</v>
      </c>
      <c r="K827" s="4">
        <f>IF(AND(ISNUMBER(Lab2_Dataset[[#This Row],[Revenue]]), ISNUMBER(Lab2_Dataset[[#This Row],[Quantity]]), Lab2_Dataset[[#This Row],[Quantity]]&lt;&gt;0), Lab2_Dataset[[#This Row],[Revenue]]/Lab2_Dataset[[#This Row],[Quantity]], "")</f>
        <v>173.69</v>
      </c>
      <c r="O827" s="2" t="b">
        <v>0</v>
      </c>
      <c r="P827" s="2" t="str">
        <f t="shared" si="25"/>
        <v/>
      </c>
    </row>
    <row r="828" spans="1:16" x14ac:dyDescent="0.35">
      <c r="A828" s="2" t="s">
        <v>1672</v>
      </c>
      <c r="B828" s="2" t="s">
        <v>1673</v>
      </c>
      <c r="C828" s="3">
        <v>45263</v>
      </c>
      <c r="D828" s="2" t="s">
        <v>11</v>
      </c>
      <c r="E828" s="2" t="s">
        <v>28</v>
      </c>
      <c r="G828" s="2">
        <v>137.41999999999999</v>
      </c>
      <c r="I828" s="2" t="s">
        <v>31</v>
      </c>
      <c r="J828" s="2" t="str">
        <f t="shared" si="24"/>
        <v>Dec</v>
      </c>
      <c r="K8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28" s="2" t="b">
        <v>1</v>
      </c>
      <c r="P828" s="2" t="str">
        <f t="shared" si="25"/>
        <v/>
      </c>
    </row>
    <row r="829" spans="1:16" x14ac:dyDescent="0.35">
      <c r="A829" s="2" t="s">
        <v>1674</v>
      </c>
      <c r="B829" s="2" t="s">
        <v>1675</v>
      </c>
      <c r="C829" s="3">
        <v>45538</v>
      </c>
      <c r="D829" s="2" t="s">
        <v>37</v>
      </c>
      <c r="E829" s="2" t="s">
        <v>12</v>
      </c>
      <c r="G829" s="2">
        <v>74.040000000000006</v>
      </c>
      <c r="I829" s="2" t="s">
        <v>52</v>
      </c>
      <c r="J829" s="2" t="str">
        <f t="shared" si="24"/>
        <v>Sep</v>
      </c>
      <c r="K8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29" s="2" t="b">
        <v>1</v>
      </c>
      <c r="P829" s="2">
        <f t="shared" si="25"/>
        <v>882.96</v>
      </c>
    </row>
    <row r="830" spans="1:16" x14ac:dyDescent="0.35">
      <c r="A830" s="2" t="s">
        <v>1676</v>
      </c>
      <c r="B830" s="2" t="s">
        <v>1677</v>
      </c>
      <c r="C830" s="3">
        <v>45712</v>
      </c>
      <c r="D830" s="2" t="s">
        <v>37</v>
      </c>
      <c r="E830" s="2" t="s">
        <v>24</v>
      </c>
      <c r="F830" s="2">
        <v>8</v>
      </c>
      <c r="G830" s="2">
        <v>110.37</v>
      </c>
      <c r="H830" s="2">
        <v>882.96</v>
      </c>
      <c r="I830" s="2" t="s">
        <v>21</v>
      </c>
      <c r="J830" s="2" t="str">
        <f t="shared" si="24"/>
        <v>Feb</v>
      </c>
      <c r="K830" s="4">
        <f>IF(AND(ISNUMBER(Lab2_Dataset[[#This Row],[Revenue]]), ISNUMBER(Lab2_Dataset[[#This Row],[Quantity]]), Lab2_Dataset[[#This Row],[Quantity]]&lt;&gt;0), Lab2_Dataset[[#This Row],[Revenue]]/Lab2_Dataset[[#This Row],[Quantity]], "")</f>
        <v>110.37</v>
      </c>
      <c r="O830" s="2" t="b">
        <v>0</v>
      </c>
      <c r="P830" s="2">
        <f t="shared" si="25"/>
        <v>1173.76</v>
      </c>
    </row>
    <row r="831" spans="1:16" x14ac:dyDescent="0.35">
      <c r="A831" s="2" t="s">
        <v>1678</v>
      </c>
      <c r="B831" s="2" t="s">
        <v>1679</v>
      </c>
      <c r="C831" s="3">
        <v>45592</v>
      </c>
      <c r="D831" s="2" t="s">
        <v>34</v>
      </c>
      <c r="E831" s="2" t="s">
        <v>47</v>
      </c>
      <c r="F831" s="2">
        <v>7</v>
      </c>
      <c r="G831" s="2">
        <v>167.68</v>
      </c>
      <c r="I831" s="2" t="s">
        <v>38</v>
      </c>
      <c r="J831" s="2" t="str">
        <f t="shared" si="24"/>
        <v>Oct</v>
      </c>
      <c r="K8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1" s="2" t="b">
        <v>0</v>
      </c>
      <c r="P831" s="2">
        <f t="shared" si="25"/>
        <v>698.56</v>
      </c>
    </row>
    <row r="832" spans="1:16" x14ac:dyDescent="0.35">
      <c r="A832" s="2" t="s">
        <v>1680</v>
      </c>
      <c r="B832" s="2" t="s">
        <v>1681</v>
      </c>
      <c r="C832" s="3">
        <v>45240</v>
      </c>
      <c r="D832" s="2" t="s">
        <v>69</v>
      </c>
      <c r="E832" s="2" t="s">
        <v>24</v>
      </c>
      <c r="F832" s="2">
        <v>8</v>
      </c>
      <c r="G832" s="2">
        <v>87.32</v>
      </c>
      <c r="H832" s="2">
        <v>698.56</v>
      </c>
      <c r="I832" s="2" t="s">
        <v>21</v>
      </c>
      <c r="J832" s="2" t="str">
        <f t="shared" si="24"/>
        <v>Nov</v>
      </c>
      <c r="K832" s="4">
        <f>IF(AND(ISNUMBER(Lab2_Dataset[[#This Row],[Revenue]]), ISNUMBER(Lab2_Dataset[[#This Row],[Quantity]]), Lab2_Dataset[[#This Row],[Quantity]]&lt;&gt;0), Lab2_Dataset[[#This Row],[Revenue]]/Lab2_Dataset[[#This Row],[Quantity]], "")</f>
        <v>87.32</v>
      </c>
      <c r="O832" s="2" t="b">
        <v>0</v>
      </c>
      <c r="P832" s="2" t="str">
        <f t="shared" si="25"/>
        <v/>
      </c>
    </row>
    <row r="833" spans="1:16" x14ac:dyDescent="0.35">
      <c r="A833" s="2" t="s">
        <v>1682</v>
      </c>
      <c r="B833" s="2" t="s">
        <v>1683</v>
      </c>
      <c r="C833" s="3">
        <v>45489</v>
      </c>
      <c r="D833" s="2" t="s">
        <v>34</v>
      </c>
      <c r="E833" s="2" t="s">
        <v>24</v>
      </c>
      <c r="G833" s="2">
        <v>79.36</v>
      </c>
      <c r="I833" s="2" t="s">
        <v>38</v>
      </c>
      <c r="J833" s="2" t="str">
        <f t="shared" si="24"/>
        <v>Jul</v>
      </c>
      <c r="K8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3" s="2" t="b">
        <v>1</v>
      </c>
      <c r="P833" s="2">
        <f t="shared" si="25"/>
        <v>1128.18</v>
      </c>
    </row>
    <row r="834" spans="1:16" x14ac:dyDescent="0.35">
      <c r="A834" s="2" t="s">
        <v>1684</v>
      </c>
      <c r="B834" s="2" t="s">
        <v>1685</v>
      </c>
      <c r="C834" s="3">
        <v>45494</v>
      </c>
      <c r="D834" s="2" t="s">
        <v>27</v>
      </c>
      <c r="E834" s="2" t="s">
        <v>24</v>
      </c>
      <c r="F834" s="2">
        <v>6</v>
      </c>
      <c r="G834" s="2">
        <v>188.03</v>
      </c>
      <c r="H834" s="2">
        <v>1128.18</v>
      </c>
      <c r="I834" s="2" t="s">
        <v>52</v>
      </c>
      <c r="J834" s="2" t="str">
        <f t="shared" ref="J834:J897" si="26">TEXT(C834,"mmm")</f>
        <v>Jul</v>
      </c>
      <c r="K834" s="4">
        <f>IF(AND(ISNUMBER(Lab2_Dataset[[#This Row],[Revenue]]), ISNUMBER(Lab2_Dataset[[#This Row],[Quantity]]), Lab2_Dataset[[#This Row],[Quantity]]&lt;&gt;0), Lab2_Dataset[[#This Row],[Revenue]]/Lab2_Dataset[[#This Row],[Quantity]], "")</f>
        <v>188.03</v>
      </c>
      <c r="O834" s="2" t="b">
        <v>0</v>
      </c>
      <c r="P834" s="2" t="str">
        <f t="shared" si="25"/>
        <v/>
      </c>
    </row>
    <row r="835" spans="1:16" x14ac:dyDescent="0.35">
      <c r="A835" s="2" t="s">
        <v>1686</v>
      </c>
      <c r="B835" s="2" t="s">
        <v>1687</v>
      </c>
      <c r="C835" s="3">
        <v>45612</v>
      </c>
      <c r="D835" s="2" t="s">
        <v>27</v>
      </c>
      <c r="E835" s="2" t="s">
        <v>16</v>
      </c>
      <c r="G835" s="2">
        <v>169.83</v>
      </c>
      <c r="I835" s="2" t="s">
        <v>13</v>
      </c>
      <c r="J835" s="2" t="str">
        <f t="shared" si="26"/>
        <v>Nov</v>
      </c>
      <c r="K83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5" s="2" t="b">
        <v>1</v>
      </c>
      <c r="P835" s="2">
        <f t="shared" ref="P835:P898" si="27">IF(O836=TRUE,"",F836*G836)</f>
        <v>697.82999999999993</v>
      </c>
    </row>
    <row r="836" spans="1:16" x14ac:dyDescent="0.35">
      <c r="A836" s="2" t="s">
        <v>1688</v>
      </c>
      <c r="B836" s="2" t="s">
        <v>1689</v>
      </c>
      <c r="C836" s="3">
        <v>45407</v>
      </c>
      <c r="D836" s="2" t="s">
        <v>27</v>
      </c>
      <c r="E836" s="2" t="s">
        <v>47</v>
      </c>
      <c r="F836" s="2">
        <v>7</v>
      </c>
      <c r="G836" s="2">
        <v>99.69</v>
      </c>
      <c r="H836" s="2">
        <v>697.83</v>
      </c>
      <c r="I836" s="2" t="s">
        <v>52</v>
      </c>
      <c r="J836" s="2" t="str">
        <f t="shared" si="26"/>
        <v>Apr</v>
      </c>
      <c r="K836" s="4">
        <f>IF(AND(ISNUMBER(Lab2_Dataset[[#This Row],[Revenue]]), ISNUMBER(Lab2_Dataset[[#This Row],[Quantity]]), Lab2_Dataset[[#This Row],[Quantity]]&lt;&gt;0), Lab2_Dataset[[#This Row],[Revenue]]/Lab2_Dataset[[#This Row],[Quantity]], "")</f>
        <v>99.690000000000012</v>
      </c>
      <c r="O836" s="2" t="b">
        <v>0</v>
      </c>
      <c r="P836" s="2" t="str">
        <f t="shared" si="27"/>
        <v/>
      </c>
    </row>
    <row r="837" spans="1:16" x14ac:dyDescent="0.35">
      <c r="A837" s="2" t="s">
        <v>1690</v>
      </c>
      <c r="B837" s="2" t="s">
        <v>1691</v>
      </c>
      <c r="C837" s="3">
        <v>45542</v>
      </c>
      <c r="D837" s="2" t="s">
        <v>37</v>
      </c>
      <c r="E837" s="2" t="s">
        <v>28</v>
      </c>
      <c r="G837" s="2">
        <v>67.44</v>
      </c>
      <c r="I837" s="2" t="s">
        <v>17</v>
      </c>
      <c r="J837" s="2" t="str">
        <f t="shared" si="26"/>
        <v>Sep</v>
      </c>
      <c r="K8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7" s="2" t="b">
        <v>1</v>
      </c>
      <c r="P837" s="2" t="str">
        <f t="shared" si="27"/>
        <v/>
      </c>
    </row>
    <row r="838" spans="1:16" x14ac:dyDescent="0.35">
      <c r="A838" s="2" t="s">
        <v>1692</v>
      </c>
      <c r="B838" s="2" t="s">
        <v>1693</v>
      </c>
      <c r="C838" s="3">
        <v>45412</v>
      </c>
      <c r="D838" s="2" t="s">
        <v>69</v>
      </c>
      <c r="E838" s="2" t="s">
        <v>47</v>
      </c>
      <c r="G838" s="2">
        <v>35.53</v>
      </c>
      <c r="I838" s="2" t="s">
        <v>31</v>
      </c>
      <c r="J838" s="2" t="str">
        <f t="shared" si="26"/>
        <v>Apr</v>
      </c>
      <c r="K83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8" s="2" t="b">
        <v>1</v>
      </c>
      <c r="P838" s="2" t="str">
        <f t="shared" si="27"/>
        <v/>
      </c>
    </row>
    <row r="839" spans="1:16" x14ac:dyDescent="0.35">
      <c r="A839" s="2" t="s">
        <v>1694</v>
      </c>
      <c r="B839" s="2" t="s">
        <v>1695</v>
      </c>
      <c r="C839" s="3">
        <v>45059</v>
      </c>
      <c r="D839" s="2" t="s">
        <v>34</v>
      </c>
      <c r="E839" s="2" t="s">
        <v>47</v>
      </c>
      <c r="G839" s="2">
        <v>112.87</v>
      </c>
      <c r="I839" s="2" t="s">
        <v>21</v>
      </c>
      <c r="J839" s="2" t="str">
        <f t="shared" si="26"/>
        <v>May</v>
      </c>
      <c r="K83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39" s="2" t="b">
        <v>1</v>
      </c>
      <c r="P839" s="2">
        <f t="shared" si="27"/>
        <v>47.29</v>
      </c>
    </row>
    <row r="840" spans="1:16" x14ac:dyDescent="0.35">
      <c r="A840" s="2" t="s">
        <v>1696</v>
      </c>
      <c r="B840" s="2" t="s">
        <v>1697</v>
      </c>
      <c r="C840" s="3">
        <v>45225</v>
      </c>
      <c r="D840" s="2" t="s">
        <v>27</v>
      </c>
      <c r="E840" s="2" t="s">
        <v>24</v>
      </c>
      <c r="F840" s="2">
        <v>1</v>
      </c>
      <c r="G840" s="2">
        <v>47.29</v>
      </c>
      <c r="H840" s="2">
        <v>47.29</v>
      </c>
      <c r="I840" s="2" t="s">
        <v>38</v>
      </c>
      <c r="J840" s="2" t="str">
        <f t="shared" si="26"/>
        <v>Oct</v>
      </c>
      <c r="K840" s="4">
        <f>IF(AND(ISNUMBER(Lab2_Dataset[[#This Row],[Revenue]]), ISNUMBER(Lab2_Dataset[[#This Row],[Quantity]]), Lab2_Dataset[[#This Row],[Quantity]]&lt;&gt;0), Lab2_Dataset[[#This Row],[Revenue]]/Lab2_Dataset[[#This Row],[Quantity]], "")</f>
        <v>47.29</v>
      </c>
      <c r="O840" s="2" t="b">
        <v>0</v>
      </c>
      <c r="P840" s="2" t="str">
        <f t="shared" si="27"/>
        <v/>
      </c>
    </row>
    <row r="841" spans="1:16" x14ac:dyDescent="0.35">
      <c r="A841" s="2" t="s">
        <v>1698</v>
      </c>
      <c r="B841" s="2" t="s">
        <v>1699</v>
      </c>
      <c r="C841" s="3">
        <v>45168</v>
      </c>
      <c r="D841" s="2" t="s">
        <v>69</v>
      </c>
      <c r="E841" s="2" t="s">
        <v>28</v>
      </c>
      <c r="G841" s="2">
        <v>165.58</v>
      </c>
      <c r="I841" s="2" t="s">
        <v>52</v>
      </c>
      <c r="J841" s="2" t="str">
        <f t="shared" si="26"/>
        <v>Aug</v>
      </c>
      <c r="K84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1" s="2" t="b">
        <v>1</v>
      </c>
      <c r="P841" s="2" t="str">
        <f t="shared" si="27"/>
        <v/>
      </c>
    </row>
    <row r="842" spans="1:16" x14ac:dyDescent="0.35">
      <c r="A842" s="2" t="s">
        <v>1700</v>
      </c>
      <c r="B842" s="2" t="s">
        <v>1701</v>
      </c>
      <c r="C842" s="3">
        <v>45370</v>
      </c>
      <c r="D842" s="2" t="s">
        <v>37</v>
      </c>
      <c r="E842" s="2" t="s">
        <v>28</v>
      </c>
      <c r="G842" s="2">
        <v>16.739999999999998</v>
      </c>
      <c r="I842" s="2" t="s">
        <v>31</v>
      </c>
      <c r="J842" s="2" t="str">
        <f t="shared" si="26"/>
        <v>Mar</v>
      </c>
      <c r="K84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2" s="2" t="b">
        <v>1</v>
      </c>
      <c r="P842" s="2" t="str">
        <f t="shared" si="27"/>
        <v/>
      </c>
    </row>
    <row r="843" spans="1:16" x14ac:dyDescent="0.35">
      <c r="A843" s="2" t="s">
        <v>1702</v>
      </c>
      <c r="B843" s="2" t="s">
        <v>1703</v>
      </c>
      <c r="C843" s="3">
        <v>45203</v>
      </c>
      <c r="D843" s="2" t="s">
        <v>27</v>
      </c>
      <c r="E843" s="2" t="s">
        <v>24</v>
      </c>
      <c r="G843" s="2">
        <v>20.62</v>
      </c>
      <c r="I843" s="2" t="s">
        <v>52</v>
      </c>
      <c r="J843" s="2" t="str">
        <f t="shared" si="26"/>
        <v>Oct</v>
      </c>
      <c r="K84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3" s="2" t="b">
        <v>1</v>
      </c>
      <c r="P843" s="2">
        <f t="shared" si="27"/>
        <v>572.08000000000004</v>
      </c>
    </row>
    <row r="844" spans="1:16" x14ac:dyDescent="0.35">
      <c r="A844" s="2" t="s">
        <v>1704</v>
      </c>
      <c r="B844" s="2" t="s">
        <v>1705</v>
      </c>
      <c r="C844" s="3">
        <v>45219</v>
      </c>
      <c r="D844" s="2" t="s">
        <v>11</v>
      </c>
      <c r="E844" s="2" t="s">
        <v>12</v>
      </c>
      <c r="F844" s="2">
        <v>8</v>
      </c>
      <c r="G844" s="2">
        <v>71.510000000000005</v>
      </c>
      <c r="H844" s="2">
        <v>572.08000000000004</v>
      </c>
      <c r="I844" s="2" t="s">
        <v>52</v>
      </c>
      <c r="J844" s="2" t="str">
        <f t="shared" si="26"/>
        <v>Oct</v>
      </c>
      <c r="K844" s="4">
        <f>IF(AND(ISNUMBER(Lab2_Dataset[[#This Row],[Revenue]]), ISNUMBER(Lab2_Dataset[[#This Row],[Quantity]]), Lab2_Dataset[[#This Row],[Quantity]]&lt;&gt;0), Lab2_Dataset[[#This Row],[Revenue]]/Lab2_Dataset[[#This Row],[Quantity]], "")</f>
        <v>71.510000000000005</v>
      </c>
      <c r="O844" s="2" t="b">
        <v>0</v>
      </c>
      <c r="P844" s="2">
        <f t="shared" si="27"/>
        <v>751.68</v>
      </c>
    </row>
    <row r="845" spans="1:16" x14ac:dyDescent="0.35">
      <c r="A845" s="2" t="s">
        <v>1706</v>
      </c>
      <c r="B845" s="2" t="s">
        <v>1707</v>
      </c>
      <c r="C845" s="3">
        <v>45501</v>
      </c>
      <c r="D845" s="2" t="s">
        <v>34</v>
      </c>
      <c r="E845" s="2" t="s">
        <v>28</v>
      </c>
      <c r="F845" s="2">
        <v>8</v>
      </c>
      <c r="G845" s="2">
        <v>93.96</v>
      </c>
      <c r="H845" s="2">
        <v>751.68</v>
      </c>
      <c r="I845" s="2" t="s">
        <v>38</v>
      </c>
      <c r="J845" s="2" t="str">
        <f t="shared" si="26"/>
        <v>Jul</v>
      </c>
      <c r="K845" s="4">
        <f>IF(AND(ISNUMBER(Lab2_Dataset[[#This Row],[Revenue]]), ISNUMBER(Lab2_Dataset[[#This Row],[Quantity]]), Lab2_Dataset[[#This Row],[Quantity]]&lt;&gt;0), Lab2_Dataset[[#This Row],[Revenue]]/Lab2_Dataset[[#This Row],[Quantity]], "")</f>
        <v>93.96</v>
      </c>
      <c r="O845" s="2" t="b">
        <v>0</v>
      </c>
      <c r="P845" s="2" t="str">
        <f t="shared" si="27"/>
        <v/>
      </c>
    </row>
    <row r="846" spans="1:16" x14ac:dyDescent="0.35">
      <c r="A846" s="2" t="s">
        <v>1708</v>
      </c>
      <c r="B846" s="2" t="s">
        <v>1709</v>
      </c>
      <c r="C846" s="3">
        <v>45463</v>
      </c>
      <c r="D846" s="2" t="s">
        <v>34</v>
      </c>
      <c r="E846" s="2" t="s">
        <v>47</v>
      </c>
      <c r="G846" s="2">
        <v>91.81</v>
      </c>
      <c r="I846" s="2" t="s">
        <v>38</v>
      </c>
      <c r="J846" s="2" t="str">
        <f t="shared" si="26"/>
        <v>Jun</v>
      </c>
      <c r="K84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6" s="2" t="b">
        <v>1</v>
      </c>
      <c r="P846" s="2">
        <f t="shared" si="27"/>
        <v>1190.21</v>
      </c>
    </row>
    <row r="847" spans="1:16" x14ac:dyDescent="0.35">
      <c r="A847" s="2" t="s">
        <v>1710</v>
      </c>
      <c r="B847" s="2" t="s">
        <v>1711</v>
      </c>
      <c r="C847" s="3">
        <v>45676</v>
      </c>
      <c r="D847" s="2" t="s">
        <v>20</v>
      </c>
      <c r="E847" s="2" t="s">
        <v>12</v>
      </c>
      <c r="F847" s="2">
        <v>7</v>
      </c>
      <c r="G847" s="2">
        <v>170.03</v>
      </c>
      <c r="I847" s="2" t="s">
        <v>13</v>
      </c>
      <c r="J847" s="2" t="str">
        <f t="shared" si="26"/>
        <v>Jan</v>
      </c>
      <c r="K84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7" s="2" t="b">
        <v>0</v>
      </c>
      <c r="P847" s="2" t="str">
        <f t="shared" si="27"/>
        <v/>
      </c>
    </row>
    <row r="848" spans="1:16" x14ac:dyDescent="0.35">
      <c r="A848" s="2" t="s">
        <v>1712</v>
      </c>
      <c r="B848" s="2" t="s">
        <v>1713</v>
      </c>
      <c r="C848" s="3">
        <v>45398</v>
      </c>
      <c r="D848" s="2" t="s">
        <v>27</v>
      </c>
      <c r="E848" s="2" t="s">
        <v>47</v>
      </c>
      <c r="G848" s="2">
        <v>43.97</v>
      </c>
      <c r="I848" s="2" t="s">
        <v>52</v>
      </c>
      <c r="J848" s="2" t="str">
        <f t="shared" si="26"/>
        <v>Apr</v>
      </c>
      <c r="K84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48" s="2" t="b">
        <v>1</v>
      </c>
      <c r="P848" s="2">
        <f t="shared" si="27"/>
        <v>1005.1800000000001</v>
      </c>
    </row>
    <row r="849" spans="1:16" x14ac:dyDescent="0.35">
      <c r="A849" s="2" t="s">
        <v>1714</v>
      </c>
      <c r="B849" s="2" t="s">
        <v>1715</v>
      </c>
      <c r="C849" s="3">
        <v>45667</v>
      </c>
      <c r="D849" s="2" t="s">
        <v>27</v>
      </c>
      <c r="E849" s="2" t="s">
        <v>12</v>
      </c>
      <c r="F849" s="2">
        <v>6</v>
      </c>
      <c r="G849" s="2">
        <v>167.53</v>
      </c>
      <c r="H849" s="2">
        <v>1005.18</v>
      </c>
      <c r="I849" s="2" t="s">
        <v>31</v>
      </c>
      <c r="J849" s="2" t="str">
        <f t="shared" si="26"/>
        <v>Jan</v>
      </c>
      <c r="K849" s="4">
        <f>IF(AND(ISNUMBER(Lab2_Dataset[[#This Row],[Revenue]]), ISNUMBER(Lab2_Dataset[[#This Row],[Quantity]]), Lab2_Dataset[[#This Row],[Quantity]]&lt;&gt;0), Lab2_Dataset[[#This Row],[Revenue]]/Lab2_Dataset[[#This Row],[Quantity]], "")</f>
        <v>167.53</v>
      </c>
      <c r="O849" s="2" t="b">
        <v>0</v>
      </c>
      <c r="P849" s="2" t="str">
        <f t="shared" si="27"/>
        <v/>
      </c>
    </row>
    <row r="850" spans="1:16" x14ac:dyDescent="0.35">
      <c r="A850" s="2" t="s">
        <v>1716</v>
      </c>
      <c r="B850" s="2" t="s">
        <v>1717</v>
      </c>
      <c r="C850" s="3">
        <v>45570</v>
      </c>
      <c r="D850" s="2" t="s">
        <v>11</v>
      </c>
      <c r="E850" s="2" t="s">
        <v>24</v>
      </c>
      <c r="G850" s="2">
        <v>161.30000000000001</v>
      </c>
      <c r="I850" s="2" t="s">
        <v>21</v>
      </c>
      <c r="J850" s="2" t="str">
        <f t="shared" si="26"/>
        <v>Oct</v>
      </c>
      <c r="K85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0" s="2" t="b">
        <v>1</v>
      </c>
      <c r="P850" s="2">
        <f t="shared" si="27"/>
        <v>249.03000000000003</v>
      </c>
    </row>
    <row r="851" spans="1:16" x14ac:dyDescent="0.35">
      <c r="A851" s="2" t="s">
        <v>1718</v>
      </c>
      <c r="B851" s="2" t="s">
        <v>1719</v>
      </c>
      <c r="C851" s="3">
        <v>45451</v>
      </c>
      <c r="D851" s="2" t="s">
        <v>69</v>
      </c>
      <c r="E851" s="2" t="s">
        <v>16</v>
      </c>
      <c r="F851" s="2">
        <v>3</v>
      </c>
      <c r="G851" s="2">
        <v>83.01</v>
      </c>
      <c r="H851" s="2">
        <v>249.03</v>
      </c>
      <c r="I851" s="2" t="s">
        <v>38</v>
      </c>
      <c r="J851" s="2" t="str">
        <f t="shared" si="26"/>
        <v>Jun</v>
      </c>
      <c r="K851" s="4">
        <f>IF(AND(ISNUMBER(Lab2_Dataset[[#This Row],[Revenue]]), ISNUMBER(Lab2_Dataset[[#This Row],[Quantity]]), Lab2_Dataset[[#This Row],[Quantity]]&lt;&gt;0), Lab2_Dataset[[#This Row],[Revenue]]/Lab2_Dataset[[#This Row],[Quantity]], "")</f>
        <v>83.01</v>
      </c>
      <c r="O851" s="2" t="b">
        <v>0</v>
      </c>
      <c r="P851" s="2" t="str">
        <f t="shared" si="27"/>
        <v/>
      </c>
    </row>
    <row r="852" spans="1:16" x14ac:dyDescent="0.35">
      <c r="A852" s="2" t="s">
        <v>1720</v>
      </c>
      <c r="B852" s="2" t="s">
        <v>1721</v>
      </c>
      <c r="C852" s="3">
        <v>45396</v>
      </c>
      <c r="D852" s="2" t="s">
        <v>20</v>
      </c>
      <c r="E852" s="2" t="s">
        <v>47</v>
      </c>
      <c r="G852" s="2">
        <v>103.68</v>
      </c>
      <c r="I852" s="2" t="s">
        <v>52</v>
      </c>
      <c r="J852" s="2" t="str">
        <f t="shared" si="26"/>
        <v>Apr</v>
      </c>
      <c r="K8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2" s="2" t="b">
        <v>1</v>
      </c>
      <c r="P852" s="2" t="str">
        <f t="shared" si="27"/>
        <v/>
      </c>
    </row>
    <row r="853" spans="1:16" x14ac:dyDescent="0.35">
      <c r="A853" s="2" t="s">
        <v>1722</v>
      </c>
      <c r="B853" s="2" t="s">
        <v>1723</v>
      </c>
      <c r="C853" s="3">
        <v>45623</v>
      </c>
      <c r="D853" s="2" t="s">
        <v>34</v>
      </c>
      <c r="E853" s="2" t="s">
        <v>16</v>
      </c>
      <c r="G853" s="2">
        <v>59.21</v>
      </c>
      <c r="I853" s="2" t="s">
        <v>13</v>
      </c>
      <c r="J853" s="2" t="str">
        <f t="shared" si="26"/>
        <v>Nov</v>
      </c>
      <c r="K8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3" s="2" t="b">
        <v>1</v>
      </c>
      <c r="P853" s="2">
        <f t="shared" si="27"/>
        <v>495.04</v>
      </c>
    </row>
    <row r="854" spans="1:16" x14ac:dyDescent="0.35">
      <c r="A854" s="2" t="s">
        <v>1724</v>
      </c>
      <c r="B854" s="2" t="s">
        <v>1725</v>
      </c>
      <c r="C854" s="3">
        <v>45492</v>
      </c>
      <c r="D854" s="2" t="s">
        <v>69</v>
      </c>
      <c r="E854" s="2" t="s">
        <v>16</v>
      </c>
      <c r="F854" s="2">
        <v>8</v>
      </c>
      <c r="G854" s="2">
        <v>61.88</v>
      </c>
      <c r="H854" s="2">
        <v>495.04</v>
      </c>
      <c r="I854" s="2" t="s">
        <v>13</v>
      </c>
      <c r="J854" s="2" t="str">
        <f t="shared" si="26"/>
        <v>Jul</v>
      </c>
      <c r="K854" s="4">
        <f>IF(AND(ISNUMBER(Lab2_Dataset[[#This Row],[Revenue]]), ISNUMBER(Lab2_Dataset[[#This Row],[Quantity]]), Lab2_Dataset[[#This Row],[Quantity]]&lt;&gt;0), Lab2_Dataset[[#This Row],[Revenue]]/Lab2_Dataset[[#This Row],[Quantity]], "")</f>
        <v>61.88</v>
      </c>
      <c r="O854" s="2" t="b">
        <v>0</v>
      </c>
      <c r="P854" s="2" t="str">
        <f t="shared" si="27"/>
        <v/>
      </c>
    </row>
    <row r="855" spans="1:16" x14ac:dyDescent="0.35">
      <c r="A855" s="2" t="s">
        <v>1726</v>
      </c>
      <c r="B855" s="2" t="s">
        <v>1727</v>
      </c>
      <c r="C855" s="3">
        <v>45627</v>
      </c>
      <c r="D855" s="2" t="s">
        <v>11</v>
      </c>
      <c r="E855" s="2" t="s">
        <v>28</v>
      </c>
      <c r="G855" s="2">
        <v>194.09</v>
      </c>
      <c r="I855" s="2" t="s">
        <v>31</v>
      </c>
      <c r="J855" s="2" t="str">
        <f t="shared" si="26"/>
        <v>Dec</v>
      </c>
      <c r="K85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5" s="2" t="b">
        <v>1</v>
      </c>
      <c r="P855" s="2">
        <f t="shared" si="27"/>
        <v>158.30000000000001</v>
      </c>
    </row>
    <row r="856" spans="1:16" x14ac:dyDescent="0.35">
      <c r="A856" s="2" t="s">
        <v>1728</v>
      </c>
      <c r="B856" s="2" t="s">
        <v>1729</v>
      </c>
      <c r="C856" s="3">
        <v>45718</v>
      </c>
      <c r="D856" s="2" t="s">
        <v>34</v>
      </c>
      <c r="E856" s="2" t="s">
        <v>16</v>
      </c>
      <c r="F856" s="2">
        <v>1</v>
      </c>
      <c r="G856" s="2">
        <v>158.30000000000001</v>
      </c>
      <c r="H856" s="2">
        <v>158.30000000000001</v>
      </c>
      <c r="I856" s="2" t="s">
        <v>13</v>
      </c>
      <c r="J856" s="2" t="str">
        <f t="shared" si="26"/>
        <v>Mar</v>
      </c>
      <c r="K856" s="4">
        <f>IF(AND(ISNUMBER(Lab2_Dataset[[#This Row],[Revenue]]), ISNUMBER(Lab2_Dataset[[#This Row],[Quantity]]), Lab2_Dataset[[#This Row],[Quantity]]&lt;&gt;0), Lab2_Dataset[[#This Row],[Revenue]]/Lab2_Dataset[[#This Row],[Quantity]], "")</f>
        <v>158.30000000000001</v>
      </c>
      <c r="O856" s="2" t="b">
        <v>0</v>
      </c>
      <c r="P856" s="2" t="str">
        <f t="shared" si="27"/>
        <v/>
      </c>
    </row>
    <row r="857" spans="1:16" x14ac:dyDescent="0.35">
      <c r="A857" s="2" t="s">
        <v>1730</v>
      </c>
      <c r="B857" s="2" t="s">
        <v>1731</v>
      </c>
      <c r="C857" s="3">
        <v>45101</v>
      </c>
      <c r="D857" s="2" t="s">
        <v>69</v>
      </c>
      <c r="E857" s="2" t="s">
        <v>12</v>
      </c>
      <c r="G857" s="2">
        <v>194.86</v>
      </c>
      <c r="I857" s="2" t="s">
        <v>52</v>
      </c>
      <c r="J857" s="2" t="str">
        <f t="shared" si="26"/>
        <v>Jun</v>
      </c>
      <c r="K85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57" s="2" t="b">
        <v>1</v>
      </c>
      <c r="P857" s="2">
        <f t="shared" si="27"/>
        <v>663.81</v>
      </c>
    </row>
    <row r="858" spans="1:16" x14ac:dyDescent="0.35">
      <c r="A858" s="2" t="s">
        <v>1732</v>
      </c>
      <c r="B858" s="2" t="s">
        <v>1733</v>
      </c>
      <c r="C858" s="3">
        <v>45550</v>
      </c>
      <c r="D858" s="2" t="s">
        <v>37</v>
      </c>
      <c r="E858" s="2" t="s">
        <v>47</v>
      </c>
      <c r="F858" s="2">
        <v>7</v>
      </c>
      <c r="G858" s="2">
        <v>94.83</v>
      </c>
      <c r="H858" s="2">
        <v>663.81</v>
      </c>
      <c r="I858" s="2" t="s">
        <v>13</v>
      </c>
      <c r="J858" s="2" t="str">
        <f t="shared" si="26"/>
        <v>Sep</v>
      </c>
      <c r="K858" s="4">
        <f>IF(AND(ISNUMBER(Lab2_Dataset[[#This Row],[Revenue]]), ISNUMBER(Lab2_Dataset[[#This Row],[Quantity]]), Lab2_Dataset[[#This Row],[Quantity]]&lt;&gt;0), Lab2_Dataset[[#This Row],[Revenue]]/Lab2_Dataset[[#This Row],[Quantity]], "")</f>
        <v>94.83</v>
      </c>
      <c r="O858" s="2" t="b">
        <v>0</v>
      </c>
      <c r="P858" s="2">
        <f t="shared" si="27"/>
        <v>694.64</v>
      </c>
    </row>
    <row r="859" spans="1:16" x14ac:dyDescent="0.35">
      <c r="A859" s="2" t="s">
        <v>1734</v>
      </c>
      <c r="B859" s="2" t="s">
        <v>1735</v>
      </c>
      <c r="C859" s="3">
        <v>45501</v>
      </c>
      <c r="D859" s="2" t="s">
        <v>20</v>
      </c>
      <c r="E859" s="2" t="s">
        <v>47</v>
      </c>
      <c r="F859" s="2">
        <v>4</v>
      </c>
      <c r="G859" s="2">
        <v>173.66</v>
      </c>
      <c r="H859" s="2">
        <v>694.64</v>
      </c>
      <c r="I859" s="2" t="s">
        <v>21</v>
      </c>
      <c r="J859" s="2" t="str">
        <f t="shared" si="26"/>
        <v>Jul</v>
      </c>
      <c r="K859" s="4">
        <f>IF(AND(ISNUMBER(Lab2_Dataset[[#This Row],[Revenue]]), ISNUMBER(Lab2_Dataset[[#This Row],[Quantity]]), Lab2_Dataset[[#This Row],[Quantity]]&lt;&gt;0), Lab2_Dataset[[#This Row],[Revenue]]/Lab2_Dataset[[#This Row],[Quantity]], "")</f>
        <v>173.66</v>
      </c>
      <c r="O859" s="2" t="b">
        <v>0</v>
      </c>
      <c r="P859" s="2">
        <f t="shared" si="27"/>
        <v>1111.32</v>
      </c>
    </row>
    <row r="860" spans="1:16" x14ac:dyDescent="0.35">
      <c r="A860" s="2" t="s">
        <v>1736</v>
      </c>
      <c r="B860" s="2" t="s">
        <v>1737</v>
      </c>
      <c r="C860" s="3">
        <v>45278</v>
      </c>
      <c r="D860" s="2" t="s">
        <v>69</v>
      </c>
      <c r="E860" s="2" t="s">
        <v>28</v>
      </c>
      <c r="F860" s="2">
        <v>6</v>
      </c>
      <c r="G860" s="2">
        <v>185.22</v>
      </c>
      <c r="H860" s="2">
        <v>1111.32</v>
      </c>
      <c r="I860" s="2" t="s">
        <v>21</v>
      </c>
      <c r="J860" s="2" t="str">
        <f t="shared" si="26"/>
        <v>Dec</v>
      </c>
      <c r="K860" s="4">
        <f>IF(AND(ISNUMBER(Lab2_Dataset[[#This Row],[Revenue]]), ISNUMBER(Lab2_Dataset[[#This Row],[Quantity]]), Lab2_Dataset[[#This Row],[Quantity]]&lt;&gt;0), Lab2_Dataset[[#This Row],[Revenue]]/Lab2_Dataset[[#This Row],[Quantity]], "")</f>
        <v>185.22</v>
      </c>
      <c r="O860" s="2" t="b">
        <v>0</v>
      </c>
      <c r="P860" s="2">
        <f t="shared" si="27"/>
        <v>1611.09</v>
      </c>
    </row>
    <row r="861" spans="1:16" x14ac:dyDescent="0.35">
      <c r="A861" s="2" t="s">
        <v>1738</v>
      </c>
      <c r="B861" s="2" t="s">
        <v>1739</v>
      </c>
      <c r="C861" s="3">
        <v>45348</v>
      </c>
      <c r="D861" s="2" t="s">
        <v>37</v>
      </c>
      <c r="E861" s="2" t="s">
        <v>12</v>
      </c>
      <c r="F861" s="2">
        <v>9</v>
      </c>
      <c r="G861" s="2">
        <v>179.01</v>
      </c>
      <c r="H861" s="2">
        <v>1611.09</v>
      </c>
      <c r="I861" s="2" t="s">
        <v>21</v>
      </c>
      <c r="J861" s="2" t="str">
        <f t="shared" si="26"/>
        <v>Feb</v>
      </c>
      <c r="K861" s="4">
        <f>IF(AND(ISNUMBER(Lab2_Dataset[[#This Row],[Revenue]]), ISNUMBER(Lab2_Dataset[[#This Row],[Quantity]]), Lab2_Dataset[[#This Row],[Quantity]]&lt;&gt;0), Lab2_Dataset[[#This Row],[Revenue]]/Lab2_Dataset[[#This Row],[Quantity]], "")</f>
        <v>179.01</v>
      </c>
      <c r="O861" s="2" t="b">
        <v>0</v>
      </c>
      <c r="P861" s="2">
        <f t="shared" si="27"/>
        <v>175.11</v>
      </c>
    </row>
    <row r="862" spans="1:16" x14ac:dyDescent="0.35">
      <c r="A862" s="2" t="s">
        <v>1740</v>
      </c>
      <c r="B862" s="2" t="s">
        <v>1741</v>
      </c>
      <c r="C862" s="3">
        <v>45246</v>
      </c>
      <c r="D862" s="2" t="s">
        <v>27</v>
      </c>
      <c r="E862" s="2" t="s">
        <v>16</v>
      </c>
      <c r="F862" s="2">
        <v>1</v>
      </c>
      <c r="G862" s="2">
        <v>175.11</v>
      </c>
      <c r="H862" s="2">
        <v>175.11</v>
      </c>
      <c r="I862" s="2" t="s">
        <v>13</v>
      </c>
      <c r="J862" s="2" t="str">
        <f t="shared" si="26"/>
        <v>Nov</v>
      </c>
      <c r="K862" s="4">
        <f>IF(AND(ISNUMBER(Lab2_Dataset[[#This Row],[Revenue]]), ISNUMBER(Lab2_Dataset[[#This Row],[Quantity]]), Lab2_Dataset[[#This Row],[Quantity]]&lt;&gt;0), Lab2_Dataset[[#This Row],[Revenue]]/Lab2_Dataset[[#This Row],[Quantity]], "")</f>
        <v>175.11</v>
      </c>
      <c r="O862" s="2" t="b">
        <v>0</v>
      </c>
      <c r="P862" s="2">
        <f t="shared" si="27"/>
        <v>281.60000000000002</v>
      </c>
    </row>
    <row r="863" spans="1:16" x14ac:dyDescent="0.35">
      <c r="A863" s="2" t="s">
        <v>1742</v>
      </c>
      <c r="B863" s="2" t="s">
        <v>1743</v>
      </c>
      <c r="C863" s="3">
        <v>45135</v>
      </c>
      <c r="D863" s="2" t="s">
        <v>34</v>
      </c>
      <c r="E863" s="2" t="s">
        <v>16</v>
      </c>
      <c r="F863" s="2">
        <v>5</v>
      </c>
      <c r="G863" s="2">
        <v>56.32</v>
      </c>
      <c r="H863" s="2">
        <v>281.60000000000002</v>
      </c>
      <c r="I863" s="2" t="s">
        <v>21</v>
      </c>
      <c r="J863" s="2" t="str">
        <f t="shared" si="26"/>
        <v>Jul</v>
      </c>
      <c r="K863" s="4">
        <f>IF(AND(ISNUMBER(Lab2_Dataset[[#This Row],[Revenue]]), ISNUMBER(Lab2_Dataset[[#This Row],[Quantity]]), Lab2_Dataset[[#This Row],[Quantity]]&lt;&gt;0), Lab2_Dataset[[#This Row],[Revenue]]/Lab2_Dataset[[#This Row],[Quantity]], "")</f>
        <v>56.320000000000007</v>
      </c>
      <c r="O863" s="2" t="b">
        <v>0</v>
      </c>
      <c r="P863" s="2" t="str">
        <f t="shared" si="27"/>
        <v/>
      </c>
    </row>
    <row r="864" spans="1:16" x14ac:dyDescent="0.35">
      <c r="A864" s="2" t="s">
        <v>1744</v>
      </c>
      <c r="B864" s="2" t="s">
        <v>1745</v>
      </c>
      <c r="C864" s="3">
        <v>45489</v>
      </c>
      <c r="D864" s="2" t="s">
        <v>37</v>
      </c>
      <c r="E864" s="2" t="s">
        <v>24</v>
      </c>
      <c r="G864" s="2">
        <v>126.17</v>
      </c>
      <c r="I864" s="2" t="s">
        <v>13</v>
      </c>
      <c r="J864" s="2" t="str">
        <f t="shared" si="26"/>
        <v>Jul</v>
      </c>
      <c r="K86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64" s="2" t="b">
        <v>1</v>
      </c>
      <c r="P864" s="2" t="str">
        <f t="shared" si="27"/>
        <v/>
      </c>
    </row>
    <row r="865" spans="1:16" x14ac:dyDescent="0.35">
      <c r="A865" s="2" t="s">
        <v>1746</v>
      </c>
      <c r="B865" s="2" t="s">
        <v>1747</v>
      </c>
      <c r="C865" s="3">
        <v>45105</v>
      </c>
      <c r="D865" s="2" t="s">
        <v>20</v>
      </c>
      <c r="E865" s="2" t="s">
        <v>16</v>
      </c>
      <c r="G865" s="2">
        <v>194.79</v>
      </c>
      <c r="I865" s="2" t="s">
        <v>13</v>
      </c>
      <c r="J865" s="2" t="str">
        <f t="shared" si="26"/>
        <v>Jun</v>
      </c>
      <c r="K86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65" s="2" t="b">
        <v>1</v>
      </c>
      <c r="P865" s="2">
        <f t="shared" si="27"/>
        <v>557.91999999999996</v>
      </c>
    </row>
    <row r="866" spans="1:16" x14ac:dyDescent="0.35">
      <c r="A866" s="2" t="s">
        <v>1748</v>
      </c>
      <c r="B866" s="2" t="s">
        <v>1749</v>
      </c>
      <c r="C866" s="3">
        <v>45237</v>
      </c>
      <c r="D866" s="2" t="s">
        <v>27</v>
      </c>
      <c r="E866" s="2" t="s">
        <v>28</v>
      </c>
      <c r="F866" s="2">
        <v>4</v>
      </c>
      <c r="G866" s="2">
        <v>139.47999999999999</v>
      </c>
      <c r="H866" s="2">
        <v>557.91999999999996</v>
      </c>
      <c r="I866" s="2" t="s">
        <v>17</v>
      </c>
      <c r="J866" s="2" t="str">
        <f t="shared" si="26"/>
        <v>Nov</v>
      </c>
      <c r="K866" s="4">
        <f>IF(AND(ISNUMBER(Lab2_Dataset[[#This Row],[Revenue]]), ISNUMBER(Lab2_Dataset[[#This Row],[Quantity]]), Lab2_Dataset[[#This Row],[Quantity]]&lt;&gt;0), Lab2_Dataset[[#This Row],[Revenue]]/Lab2_Dataset[[#This Row],[Quantity]], "")</f>
        <v>139.47999999999999</v>
      </c>
      <c r="O866" s="2" t="b">
        <v>0</v>
      </c>
      <c r="P866" s="2">
        <f t="shared" si="27"/>
        <v>713.40000000000009</v>
      </c>
    </row>
    <row r="867" spans="1:16" x14ac:dyDescent="0.35">
      <c r="A867" s="2" t="s">
        <v>1750</v>
      </c>
      <c r="B867" s="2" t="s">
        <v>1751</v>
      </c>
      <c r="C867" s="3">
        <v>45583</v>
      </c>
      <c r="D867" s="2" t="s">
        <v>27</v>
      </c>
      <c r="E867" s="2" t="s">
        <v>28</v>
      </c>
      <c r="F867" s="2">
        <v>6</v>
      </c>
      <c r="G867" s="2">
        <v>118.9</v>
      </c>
      <c r="H867" s="2">
        <v>713.4</v>
      </c>
      <c r="I867" s="2" t="s">
        <v>52</v>
      </c>
      <c r="J867" s="2" t="str">
        <f t="shared" si="26"/>
        <v>Oct</v>
      </c>
      <c r="K867" s="4">
        <f>IF(AND(ISNUMBER(Lab2_Dataset[[#This Row],[Revenue]]), ISNUMBER(Lab2_Dataset[[#This Row],[Quantity]]), Lab2_Dataset[[#This Row],[Quantity]]&lt;&gt;0), Lab2_Dataset[[#This Row],[Revenue]]/Lab2_Dataset[[#This Row],[Quantity]], "")</f>
        <v>118.89999999999999</v>
      </c>
      <c r="O867" s="2" t="b">
        <v>0</v>
      </c>
      <c r="P867" s="2" t="str">
        <f t="shared" si="27"/>
        <v/>
      </c>
    </row>
    <row r="868" spans="1:16" x14ac:dyDescent="0.35">
      <c r="A868" s="2" t="s">
        <v>1752</v>
      </c>
      <c r="B868" s="2" t="s">
        <v>1753</v>
      </c>
      <c r="C868" s="3">
        <v>45512</v>
      </c>
      <c r="D868" s="2" t="s">
        <v>20</v>
      </c>
      <c r="E868" s="2" t="s">
        <v>47</v>
      </c>
      <c r="G868" s="2">
        <v>169.35</v>
      </c>
      <c r="I868" s="2" t="s">
        <v>17</v>
      </c>
      <c r="J868" s="2" t="str">
        <f t="shared" si="26"/>
        <v>Aug</v>
      </c>
      <c r="K86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68" s="2" t="b">
        <v>1</v>
      </c>
      <c r="P868" s="2">
        <f t="shared" si="27"/>
        <v>825.75</v>
      </c>
    </row>
    <row r="869" spans="1:16" x14ac:dyDescent="0.35">
      <c r="A869" s="2" t="s">
        <v>1754</v>
      </c>
      <c r="B869" s="2" t="s">
        <v>1755</v>
      </c>
      <c r="C869" s="3">
        <v>45563</v>
      </c>
      <c r="D869" s="2" t="s">
        <v>34</v>
      </c>
      <c r="E869" s="2" t="s">
        <v>16</v>
      </c>
      <c r="F869" s="2">
        <v>5</v>
      </c>
      <c r="G869" s="2">
        <v>165.15</v>
      </c>
      <c r="H869" s="2">
        <v>825.75</v>
      </c>
      <c r="I869" s="2" t="s">
        <v>31</v>
      </c>
      <c r="J869" s="2" t="str">
        <f t="shared" si="26"/>
        <v>Sep</v>
      </c>
      <c r="K869" s="4">
        <f>IF(AND(ISNUMBER(Lab2_Dataset[[#This Row],[Revenue]]), ISNUMBER(Lab2_Dataset[[#This Row],[Quantity]]), Lab2_Dataset[[#This Row],[Quantity]]&lt;&gt;0), Lab2_Dataset[[#This Row],[Revenue]]/Lab2_Dataset[[#This Row],[Quantity]], "")</f>
        <v>165.15</v>
      </c>
      <c r="O869" s="2" t="b">
        <v>0</v>
      </c>
      <c r="P869" s="2" t="str">
        <f t="shared" si="27"/>
        <v/>
      </c>
    </row>
    <row r="870" spans="1:16" x14ac:dyDescent="0.35">
      <c r="A870" s="2" t="s">
        <v>1756</v>
      </c>
      <c r="B870" s="2" t="s">
        <v>1757</v>
      </c>
      <c r="C870" s="3">
        <v>45460</v>
      </c>
      <c r="D870" s="2" t="s">
        <v>37</v>
      </c>
      <c r="E870" s="2" t="s">
        <v>16</v>
      </c>
      <c r="G870" s="2">
        <v>111.78</v>
      </c>
      <c r="I870" s="2" t="s">
        <v>17</v>
      </c>
      <c r="J870" s="2" t="str">
        <f t="shared" si="26"/>
        <v>Jun</v>
      </c>
      <c r="K87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70" s="2" t="b">
        <v>1</v>
      </c>
      <c r="P870" s="2">
        <f t="shared" si="27"/>
        <v>1021.02</v>
      </c>
    </row>
    <row r="871" spans="1:16" x14ac:dyDescent="0.35">
      <c r="A871" s="2" t="s">
        <v>1758</v>
      </c>
      <c r="B871" s="2" t="s">
        <v>1759</v>
      </c>
      <c r="C871" s="3">
        <v>45397</v>
      </c>
      <c r="D871" s="2" t="s">
        <v>37</v>
      </c>
      <c r="E871" s="2" t="s">
        <v>47</v>
      </c>
      <c r="F871" s="2">
        <v>6</v>
      </c>
      <c r="G871" s="2">
        <v>170.17</v>
      </c>
      <c r="H871" s="2">
        <v>1021.02</v>
      </c>
      <c r="I871" s="2" t="s">
        <v>52</v>
      </c>
      <c r="J871" s="2" t="str">
        <f t="shared" si="26"/>
        <v>Apr</v>
      </c>
      <c r="K871" s="4">
        <f>IF(AND(ISNUMBER(Lab2_Dataset[[#This Row],[Revenue]]), ISNUMBER(Lab2_Dataset[[#This Row],[Quantity]]), Lab2_Dataset[[#This Row],[Quantity]]&lt;&gt;0), Lab2_Dataset[[#This Row],[Revenue]]/Lab2_Dataset[[#This Row],[Quantity]], "")</f>
        <v>170.17</v>
      </c>
      <c r="O871" s="2" t="b">
        <v>0</v>
      </c>
      <c r="P871" s="2">
        <f t="shared" si="27"/>
        <v>296.28000000000003</v>
      </c>
    </row>
    <row r="872" spans="1:16" x14ac:dyDescent="0.35">
      <c r="A872" s="2" t="s">
        <v>1760</v>
      </c>
      <c r="B872" s="2" t="s">
        <v>1761</v>
      </c>
      <c r="C872" s="3">
        <v>45567</v>
      </c>
      <c r="D872" s="2" t="s">
        <v>34</v>
      </c>
      <c r="E872" s="2" t="s">
        <v>24</v>
      </c>
      <c r="F872" s="2">
        <v>6</v>
      </c>
      <c r="G872" s="2">
        <v>49.38</v>
      </c>
      <c r="H872" s="2">
        <v>296.27999999999997</v>
      </c>
      <c r="I872" s="2" t="s">
        <v>21</v>
      </c>
      <c r="J872" s="2" t="str">
        <f t="shared" si="26"/>
        <v>Oct</v>
      </c>
      <c r="K872" s="4">
        <f>IF(AND(ISNUMBER(Lab2_Dataset[[#This Row],[Revenue]]), ISNUMBER(Lab2_Dataset[[#This Row],[Quantity]]), Lab2_Dataset[[#This Row],[Quantity]]&lt;&gt;0), Lab2_Dataset[[#This Row],[Revenue]]/Lab2_Dataset[[#This Row],[Quantity]], "")</f>
        <v>49.379999999999995</v>
      </c>
      <c r="O872" s="2" t="b">
        <v>0</v>
      </c>
      <c r="P872" s="2" t="str">
        <f t="shared" si="27"/>
        <v/>
      </c>
    </row>
    <row r="873" spans="1:16" x14ac:dyDescent="0.35">
      <c r="A873" s="2" t="s">
        <v>1762</v>
      </c>
      <c r="B873" s="2" t="s">
        <v>1763</v>
      </c>
      <c r="C873" s="3">
        <v>45633</v>
      </c>
      <c r="D873" s="2" t="s">
        <v>37</v>
      </c>
      <c r="E873" s="2" t="s">
        <v>47</v>
      </c>
      <c r="G873" s="2">
        <v>111.38</v>
      </c>
      <c r="I873" s="2" t="s">
        <v>21</v>
      </c>
      <c r="J873" s="2" t="str">
        <f t="shared" si="26"/>
        <v>Dec</v>
      </c>
      <c r="K8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73" s="2" t="b">
        <v>1</v>
      </c>
      <c r="P873" s="2">
        <f t="shared" si="27"/>
        <v>1234.1600000000001</v>
      </c>
    </row>
    <row r="874" spans="1:16" x14ac:dyDescent="0.35">
      <c r="A874" s="2" t="s">
        <v>1764</v>
      </c>
      <c r="B874" s="2" t="s">
        <v>1765</v>
      </c>
      <c r="C874" s="3">
        <v>45135</v>
      </c>
      <c r="D874" s="2" t="s">
        <v>34</v>
      </c>
      <c r="E874" s="2" t="s">
        <v>16</v>
      </c>
      <c r="F874" s="2">
        <v>8</v>
      </c>
      <c r="G874" s="2">
        <v>154.27000000000001</v>
      </c>
      <c r="H874" s="2">
        <v>1234.1600000000001</v>
      </c>
      <c r="I874" s="2" t="s">
        <v>31</v>
      </c>
      <c r="J874" s="2" t="str">
        <f t="shared" si="26"/>
        <v>Jul</v>
      </c>
      <c r="K874" s="4">
        <f>IF(AND(ISNUMBER(Lab2_Dataset[[#This Row],[Revenue]]), ISNUMBER(Lab2_Dataset[[#This Row],[Quantity]]), Lab2_Dataset[[#This Row],[Quantity]]&lt;&gt;0), Lab2_Dataset[[#This Row],[Revenue]]/Lab2_Dataset[[#This Row],[Quantity]], "")</f>
        <v>154.27000000000001</v>
      </c>
      <c r="O874" s="2" t="b">
        <v>0</v>
      </c>
      <c r="P874" s="2">
        <f t="shared" si="27"/>
        <v>151.44</v>
      </c>
    </row>
    <row r="875" spans="1:16" x14ac:dyDescent="0.35">
      <c r="A875" s="2" t="s">
        <v>1766</v>
      </c>
      <c r="B875" s="2" t="s">
        <v>1767</v>
      </c>
      <c r="C875" s="3">
        <v>45559</v>
      </c>
      <c r="D875" s="2" t="s">
        <v>11</v>
      </c>
      <c r="E875" s="2" t="s">
        <v>12</v>
      </c>
      <c r="F875" s="2">
        <v>4</v>
      </c>
      <c r="G875" s="2">
        <v>37.86</v>
      </c>
      <c r="H875" s="2">
        <v>151.44</v>
      </c>
      <c r="I875" s="2" t="s">
        <v>13</v>
      </c>
      <c r="J875" s="2" t="str">
        <f t="shared" si="26"/>
        <v>Sep</v>
      </c>
      <c r="K875" s="4">
        <f>IF(AND(ISNUMBER(Lab2_Dataset[[#This Row],[Revenue]]), ISNUMBER(Lab2_Dataset[[#This Row],[Quantity]]), Lab2_Dataset[[#This Row],[Quantity]]&lt;&gt;0), Lab2_Dataset[[#This Row],[Revenue]]/Lab2_Dataset[[#This Row],[Quantity]], "")</f>
        <v>37.86</v>
      </c>
      <c r="O875" s="2" t="b">
        <v>0</v>
      </c>
      <c r="P875" s="2">
        <f t="shared" si="27"/>
        <v>504.24</v>
      </c>
    </row>
    <row r="876" spans="1:16" x14ac:dyDescent="0.35">
      <c r="A876" s="2" t="s">
        <v>1768</v>
      </c>
      <c r="B876" s="2" t="s">
        <v>1769</v>
      </c>
      <c r="C876" s="3">
        <v>45608</v>
      </c>
      <c r="D876" s="2" t="s">
        <v>34</v>
      </c>
      <c r="E876" s="2" t="s">
        <v>24</v>
      </c>
      <c r="F876" s="2">
        <v>8</v>
      </c>
      <c r="G876" s="2">
        <v>63.03</v>
      </c>
      <c r="H876" s="2">
        <v>504.24</v>
      </c>
      <c r="I876" s="2" t="s">
        <v>13</v>
      </c>
      <c r="J876" s="2" t="str">
        <f t="shared" si="26"/>
        <v>Nov</v>
      </c>
      <c r="K876" s="4">
        <f>IF(AND(ISNUMBER(Lab2_Dataset[[#This Row],[Revenue]]), ISNUMBER(Lab2_Dataset[[#This Row],[Quantity]]), Lab2_Dataset[[#This Row],[Quantity]]&lt;&gt;0), Lab2_Dataset[[#This Row],[Revenue]]/Lab2_Dataset[[#This Row],[Quantity]], "")</f>
        <v>63.03</v>
      </c>
      <c r="O876" s="2" t="b">
        <v>0</v>
      </c>
      <c r="P876" s="2">
        <f t="shared" si="27"/>
        <v>714.16</v>
      </c>
    </row>
    <row r="877" spans="1:16" x14ac:dyDescent="0.35">
      <c r="A877" s="2" t="s">
        <v>1770</v>
      </c>
      <c r="B877" s="2" t="s">
        <v>1771</v>
      </c>
      <c r="C877" s="3">
        <v>45766</v>
      </c>
      <c r="D877" s="2" t="s">
        <v>37</v>
      </c>
      <c r="E877" s="2" t="s">
        <v>24</v>
      </c>
      <c r="F877" s="2">
        <v>8</v>
      </c>
      <c r="G877" s="2">
        <v>89.27</v>
      </c>
      <c r="H877" s="2">
        <v>714.16</v>
      </c>
      <c r="I877" s="2" t="s">
        <v>21</v>
      </c>
      <c r="J877" s="2" t="str">
        <f t="shared" si="26"/>
        <v>Apr</v>
      </c>
      <c r="K877" s="4">
        <f>IF(AND(ISNUMBER(Lab2_Dataset[[#This Row],[Revenue]]), ISNUMBER(Lab2_Dataset[[#This Row],[Quantity]]), Lab2_Dataset[[#This Row],[Quantity]]&lt;&gt;0), Lab2_Dataset[[#This Row],[Revenue]]/Lab2_Dataset[[#This Row],[Quantity]], "")</f>
        <v>89.27</v>
      </c>
      <c r="O877" s="2" t="b">
        <v>0</v>
      </c>
      <c r="P877" s="2">
        <f t="shared" si="27"/>
        <v>320.25</v>
      </c>
    </row>
    <row r="878" spans="1:16" x14ac:dyDescent="0.35">
      <c r="A878" s="2" t="s">
        <v>1772</v>
      </c>
      <c r="B878" s="2" t="s">
        <v>1773</v>
      </c>
      <c r="C878" s="3">
        <v>45741</v>
      </c>
      <c r="D878" s="2" t="s">
        <v>69</v>
      </c>
      <c r="E878" s="2" t="s">
        <v>47</v>
      </c>
      <c r="F878" s="2">
        <v>5</v>
      </c>
      <c r="G878" s="2">
        <v>64.05</v>
      </c>
      <c r="H878" s="2">
        <v>320.25</v>
      </c>
      <c r="I878" s="2" t="s">
        <v>21</v>
      </c>
      <c r="J878" s="2" t="str">
        <f t="shared" si="26"/>
        <v>Mar</v>
      </c>
      <c r="K878" s="4">
        <f>IF(AND(ISNUMBER(Lab2_Dataset[[#This Row],[Revenue]]), ISNUMBER(Lab2_Dataset[[#This Row],[Quantity]]), Lab2_Dataset[[#This Row],[Quantity]]&lt;&gt;0), Lab2_Dataset[[#This Row],[Revenue]]/Lab2_Dataset[[#This Row],[Quantity]], "")</f>
        <v>64.05</v>
      </c>
      <c r="O878" s="2" t="b">
        <v>0</v>
      </c>
      <c r="P878" s="2">
        <f t="shared" si="27"/>
        <v>106.8</v>
      </c>
    </row>
    <row r="879" spans="1:16" x14ac:dyDescent="0.35">
      <c r="A879" s="2" t="s">
        <v>1774</v>
      </c>
      <c r="B879" s="2" t="s">
        <v>1775</v>
      </c>
      <c r="C879" s="3">
        <v>45228</v>
      </c>
      <c r="D879" s="2" t="s">
        <v>20</v>
      </c>
      <c r="E879" s="2" t="s">
        <v>47</v>
      </c>
      <c r="F879" s="2">
        <v>4</v>
      </c>
      <c r="G879" s="2">
        <v>26.7</v>
      </c>
      <c r="H879" s="2">
        <v>106.8</v>
      </c>
      <c r="I879" s="2" t="s">
        <v>52</v>
      </c>
      <c r="J879" s="2" t="str">
        <f t="shared" si="26"/>
        <v>Oct</v>
      </c>
      <c r="K879" s="4">
        <f>IF(AND(ISNUMBER(Lab2_Dataset[[#This Row],[Revenue]]), ISNUMBER(Lab2_Dataset[[#This Row],[Quantity]]), Lab2_Dataset[[#This Row],[Quantity]]&lt;&gt;0), Lab2_Dataset[[#This Row],[Revenue]]/Lab2_Dataset[[#This Row],[Quantity]], "")</f>
        <v>26.7</v>
      </c>
      <c r="O879" s="2" t="b">
        <v>0</v>
      </c>
      <c r="P879" s="2">
        <f t="shared" si="27"/>
        <v>233.2</v>
      </c>
    </row>
    <row r="880" spans="1:16" x14ac:dyDescent="0.35">
      <c r="A880" s="2" t="s">
        <v>1776</v>
      </c>
      <c r="B880" s="2" t="s">
        <v>1777</v>
      </c>
      <c r="C880" s="3">
        <v>45599</v>
      </c>
      <c r="D880" s="2" t="s">
        <v>11</v>
      </c>
      <c r="E880" s="2" t="s">
        <v>28</v>
      </c>
      <c r="F880" s="2">
        <v>2</v>
      </c>
      <c r="G880" s="2">
        <v>116.6</v>
      </c>
      <c r="H880" s="2">
        <v>233.2</v>
      </c>
      <c r="I880" s="2" t="s">
        <v>31</v>
      </c>
      <c r="J880" s="2" t="str">
        <f t="shared" si="26"/>
        <v>Nov</v>
      </c>
      <c r="K880" s="4">
        <f>IF(AND(ISNUMBER(Lab2_Dataset[[#This Row],[Revenue]]), ISNUMBER(Lab2_Dataset[[#This Row],[Quantity]]), Lab2_Dataset[[#This Row],[Quantity]]&lt;&gt;0), Lab2_Dataset[[#This Row],[Revenue]]/Lab2_Dataset[[#This Row],[Quantity]], "")</f>
        <v>116.6</v>
      </c>
      <c r="O880" s="2" t="b">
        <v>0</v>
      </c>
      <c r="P880" s="2" t="str">
        <f t="shared" si="27"/>
        <v/>
      </c>
    </row>
    <row r="881" spans="1:16" x14ac:dyDescent="0.35">
      <c r="A881" s="2" t="s">
        <v>1778</v>
      </c>
      <c r="B881" s="2" t="s">
        <v>1779</v>
      </c>
      <c r="C881" s="3">
        <v>45321</v>
      </c>
      <c r="D881" s="2" t="s">
        <v>37</v>
      </c>
      <c r="E881" s="2" t="s">
        <v>12</v>
      </c>
      <c r="G881" s="2">
        <v>18.46</v>
      </c>
      <c r="I881" s="2" t="s">
        <v>38</v>
      </c>
      <c r="J881" s="2" t="str">
        <f t="shared" si="26"/>
        <v>Jan</v>
      </c>
      <c r="K8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1" s="2" t="b">
        <v>1</v>
      </c>
      <c r="P881" s="2">
        <f t="shared" si="27"/>
        <v>589.68000000000006</v>
      </c>
    </row>
    <row r="882" spans="1:16" x14ac:dyDescent="0.35">
      <c r="A882" s="2" t="s">
        <v>1780</v>
      </c>
      <c r="B882" s="2" t="s">
        <v>1781</v>
      </c>
      <c r="C882" s="3">
        <v>45319</v>
      </c>
      <c r="D882" s="2" t="s">
        <v>37</v>
      </c>
      <c r="E882" s="2" t="s">
        <v>24</v>
      </c>
      <c r="F882" s="2">
        <v>3</v>
      </c>
      <c r="G882" s="2">
        <v>196.56</v>
      </c>
      <c r="H882" s="2">
        <v>589.67999999999995</v>
      </c>
      <c r="I882" s="2" t="s">
        <v>13</v>
      </c>
      <c r="J882" s="2" t="str">
        <f t="shared" si="26"/>
        <v>Jan</v>
      </c>
      <c r="K882" s="4">
        <f>IF(AND(ISNUMBER(Lab2_Dataset[[#This Row],[Revenue]]), ISNUMBER(Lab2_Dataset[[#This Row],[Quantity]]), Lab2_Dataset[[#This Row],[Quantity]]&lt;&gt;0), Lab2_Dataset[[#This Row],[Revenue]]/Lab2_Dataset[[#This Row],[Quantity]], "")</f>
        <v>196.55999999999997</v>
      </c>
      <c r="O882" s="2" t="b">
        <v>0</v>
      </c>
      <c r="P882" s="2">
        <f t="shared" si="27"/>
        <v>739</v>
      </c>
    </row>
    <row r="883" spans="1:16" x14ac:dyDescent="0.35">
      <c r="A883" s="2" t="s">
        <v>1782</v>
      </c>
      <c r="B883" s="2" t="s">
        <v>1783</v>
      </c>
      <c r="C883" s="3">
        <v>45241</v>
      </c>
      <c r="D883" s="2" t="s">
        <v>20</v>
      </c>
      <c r="E883" s="2" t="s">
        <v>12</v>
      </c>
      <c r="F883" s="2">
        <v>4</v>
      </c>
      <c r="G883" s="2">
        <v>184.75</v>
      </c>
      <c r="H883" s="2">
        <v>739</v>
      </c>
      <c r="I883" s="2" t="s">
        <v>13</v>
      </c>
      <c r="J883" s="2" t="str">
        <f t="shared" si="26"/>
        <v>Nov</v>
      </c>
      <c r="K883" s="4">
        <f>IF(AND(ISNUMBER(Lab2_Dataset[[#This Row],[Revenue]]), ISNUMBER(Lab2_Dataset[[#This Row],[Quantity]]), Lab2_Dataset[[#This Row],[Quantity]]&lt;&gt;0), Lab2_Dataset[[#This Row],[Revenue]]/Lab2_Dataset[[#This Row],[Quantity]], "")</f>
        <v>184.75</v>
      </c>
      <c r="O883" s="2" t="b">
        <v>0</v>
      </c>
      <c r="P883" s="2">
        <f t="shared" si="27"/>
        <v>715.52</v>
      </c>
    </row>
    <row r="884" spans="1:16" x14ac:dyDescent="0.35">
      <c r="A884" s="2" t="s">
        <v>1784</v>
      </c>
      <c r="B884" s="2" t="s">
        <v>1785</v>
      </c>
      <c r="C884" s="3">
        <v>45169</v>
      </c>
      <c r="D884" s="2" t="s">
        <v>27</v>
      </c>
      <c r="E884" s="2" t="s">
        <v>12</v>
      </c>
      <c r="F884" s="2">
        <v>4</v>
      </c>
      <c r="G884" s="2">
        <v>178.88</v>
      </c>
      <c r="H884" s="2">
        <v>715.52</v>
      </c>
      <c r="I884" s="2" t="s">
        <v>38</v>
      </c>
      <c r="J884" s="2" t="str">
        <f t="shared" si="26"/>
        <v>Aug</v>
      </c>
      <c r="K884" s="4">
        <f>IF(AND(ISNUMBER(Lab2_Dataset[[#This Row],[Revenue]]), ISNUMBER(Lab2_Dataset[[#This Row],[Quantity]]), Lab2_Dataset[[#This Row],[Quantity]]&lt;&gt;0), Lab2_Dataset[[#This Row],[Revenue]]/Lab2_Dataset[[#This Row],[Quantity]], "")</f>
        <v>178.88</v>
      </c>
      <c r="O884" s="2" t="b">
        <v>0</v>
      </c>
      <c r="P884" s="2">
        <f t="shared" si="27"/>
        <v>343.9</v>
      </c>
    </row>
    <row r="885" spans="1:16" x14ac:dyDescent="0.35">
      <c r="A885" s="2" t="s">
        <v>1786</v>
      </c>
      <c r="B885" s="2" t="s">
        <v>1787</v>
      </c>
      <c r="C885" s="3">
        <v>45615</v>
      </c>
      <c r="D885" s="2" t="s">
        <v>20</v>
      </c>
      <c r="E885" s="2" t="s">
        <v>24</v>
      </c>
      <c r="F885" s="2">
        <v>5</v>
      </c>
      <c r="G885" s="2">
        <v>68.78</v>
      </c>
      <c r="H885" s="2">
        <v>343.9</v>
      </c>
      <c r="I885" s="2" t="s">
        <v>31</v>
      </c>
      <c r="J885" s="2" t="str">
        <f t="shared" si="26"/>
        <v>Nov</v>
      </c>
      <c r="K885" s="4">
        <f>IF(AND(ISNUMBER(Lab2_Dataset[[#This Row],[Revenue]]), ISNUMBER(Lab2_Dataset[[#This Row],[Quantity]]), Lab2_Dataset[[#This Row],[Quantity]]&lt;&gt;0), Lab2_Dataset[[#This Row],[Revenue]]/Lab2_Dataset[[#This Row],[Quantity]], "")</f>
        <v>68.78</v>
      </c>
      <c r="O885" s="2" t="b">
        <v>0</v>
      </c>
      <c r="P885" s="2" t="str">
        <f t="shared" si="27"/>
        <v/>
      </c>
    </row>
    <row r="886" spans="1:16" x14ac:dyDescent="0.35">
      <c r="A886" s="2" t="s">
        <v>1788</v>
      </c>
      <c r="B886" s="2" t="s">
        <v>1789</v>
      </c>
      <c r="C886" s="3">
        <v>45171</v>
      </c>
      <c r="D886" s="2" t="s">
        <v>20</v>
      </c>
      <c r="E886" s="2" t="s">
        <v>28</v>
      </c>
      <c r="G886" s="2">
        <v>182.81</v>
      </c>
      <c r="I886" s="2" t="s">
        <v>38</v>
      </c>
      <c r="J886" s="2" t="str">
        <f t="shared" si="26"/>
        <v>Sep</v>
      </c>
      <c r="K88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6" s="2" t="b">
        <v>1</v>
      </c>
      <c r="P886" s="2" t="str">
        <f t="shared" si="27"/>
        <v/>
      </c>
    </row>
    <row r="887" spans="1:16" x14ac:dyDescent="0.35">
      <c r="A887" s="2" t="s">
        <v>1790</v>
      </c>
      <c r="B887" s="2" t="s">
        <v>1791</v>
      </c>
      <c r="C887" s="3">
        <v>45332</v>
      </c>
      <c r="D887" s="2" t="s">
        <v>27</v>
      </c>
      <c r="E887" s="2" t="s">
        <v>47</v>
      </c>
      <c r="G887" s="2">
        <v>139.94</v>
      </c>
      <c r="I887" s="2" t="s">
        <v>52</v>
      </c>
      <c r="J887" s="2" t="str">
        <f t="shared" si="26"/>
        <v>Feb</v>
      </c>
      <c r="K88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7" s="2" t="b">
        <v>1</v>
      </c>
      <c r="P887" s="2" t="str">
        <f t="shared" si="27"/>
        <v/>
      </c>
    </row>
    <row r="888" spans="1:16" x14ac:dyDescent="0.35">
      <c r="A888" s="2" t="s">
        <v>1792</v>
      </c>
      <c r="B888" s="2" t="s">
        <v>1793</v>
      </c>
      <c r="C888" s="3">
        <v>45315</v>
      </c>
      <c r="D888" s="2" t="s">
        <v>34</v>
      </c>
      <c r="E888" s="2" t="s">
        <v>47</v>
      </c>
      <c r="G888" s="2">
        <v>191.24</v>
      </c>
      <c r="I888" s="2" t="s">
        <v>52</v>
      </c>
      <c r="J888" s="2" t="str">
        <f t="shared" si="26"/>
        <v>Jan</v>
      </c>
      <c r="K8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8" s="2" t="b">
        <v>1</v>
      </c>
      <c r="P888" s="2" t="str">
        <f t="shared" si="27"/>
        <v/>
      </c>
    </row>
    <row r="889" spans="1:16" x14ac:dyDescent="0.35">
      <c r="A889" s="2" t="s">
        <v>1794</v>
      </c>
      <c r="B889" s="2" t="s">
        <v>1795</v>
      </c>
      <c r="C889" s="3">
        <v>45643</v>
      </c>
      <c r="D889" s="2" t="s">
        <v>37</v>
      </c>
      <c r="E889" s="2" t="s">
        <v>28</v>
      </c>
      <c r="G889" s="2">
        <v>50.15</v>
      </c>
      <c r="I889" s="2" t="s">
        <v>17</v>
      </c>
      <c r="J889" s="2" t="str">
        <f t="shared" si="26"/>
        <v>Dec</v>
      </c>
      <c r="K88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89" s="2" t="b">
        <v>1</v>
      </c>
      <c r="P889" s="2" t="str">
        <f t="shared" si="27"/>
        <v/>
      </c>
    </row>
    <row r="890" spans="1:16" x14ac:dyDescent="0.35">
      <c r="A890" s="2" t="s">
        <v>1796</v>
      </c>
      <c r="B890" s="2" t="s">
        <v>1797</v>
      </c>
      <c r="C890" s="3">
        <v>45418</v>
      </c>
      <c r="D890" s="2" t="s">
        <v>37</v>
      </c>
      <c r="E890" s="2" t="s">
        <v>16</v>
      </c>
      <c r="G890" s="2">
        <v>68.209999999999994</v>
      </c>
      <c r="I890" s="2" t="s">
        <v>13</v>
      </c>
      <c r="J890" s="2" t="str">
        <f t="shared" si="26"/>
        <v>May</v>
      </c>
      <c r="K8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0" s="2" t="b">
        <v>1</v>
      </c>
      <c r="P890" s="2">
        <f t="shared" si="27"/>
        <v>689.64</v>
      </c>
    </row>
    <row r="891" spans="1:16" x14ac:dyDescent="0.35">
      <c r="A891" s="2" t="s">
        <v>1798</v>
      </c>
      <c r="B891" s="2" t="s">
        <v>1799</v>
      </c>
      <c r="C891" s="3">
        <v>45449</v>
      </c>
      <c r="D891" s="2" t="s">
        <v>37</v>
      </c>
      <c r="E891" s="2" t="s">
        <v>28</v>
      </c>
      <c r="F891" s="2">
        <v>7</v>
      </c>
      <c r="G891" s="2">
        <v>98.52</v>
      </c>
      <c r="H891" s="2">
        <v>689.64</v>
      </c>
      <c r="I891" s="2" t="s">
        <v>52</v>
      </c>
      <c r="J891" s="2" t="str">
        <f t="shared" si="26"/>
        <v>Jun</v>
      </c>
      <c r="K891" s="4">
        <f>IF(AND(ISNUMBER(Lab2_Dataset[[#This Row],[Revenue]]), ISNUMBER(Lab2_Dataset[[#This Row],[Quantity]]), Lab2_Dataset[[#This Row],[Quantity]]&lt;&gt;0), Lab2_Dataset[[#This Row],[Revenue]]/Lab2_Dataset[[#This Row],[Quantity]], "")</f>
        <v>98.52</v>
      </c>
      <c r="O891" s="2" t="b">
        <v>0</v>
      </c>
      <c r="P891" s="2">
        <f t="shared" si="27"/>
        <v>1151.92</v>
      </c>
    </row>
    <row r="892" spans="1:16" x14ac:dyDescent="0.35">
      <c r="A892" s="2" t="s">
        <v>1800</v>
      </c>
      <c r="B892" s="2" t="s">
        <v>1801</v>
      </c>
      <c r="C892" s="3">
        <v>45389</v>
      </c>
      <c r="D892" s="2" t="s">
        <v>37</v>
      </c>
      <c r="E892" s="2" t="s">
        <v>12</v>
      </c>
      <c r="F892" s="2">
        <v>8</v>
      </c>
      <c r="G892" s="2">
        <v>143.99</v>
      </c>
      <c r="H892" s="2">
        <v>1151.92</v>
      </c>
      <c r="I892" s="2" t="s">
        <v>17</v>
      </c>
      <c r="J892" s="2" t="str">
        <f t="shared" si="26"/>
        <v>Apr</v>
      </c>
      <c r="K892" s="4">
        <f>IF(AND(ISNUMBER(Lab2_Dataset[[#This Row],[Revenue]]), ISNUMBER(Lab2_Dataset[[#This Row],[Quantity]]), Lab2_Dataset[[#This Row],[Quantity]]&lt;&gt;0), Lab2_Dataset[[#This Row],[Revenue]]/Lab2_Dataset[[#This Row],[Quantity]], "")</f>
        <v>143.99</v>
      </c>
      <c r="O892" s="2" t="b">
        <v>0</v>
      </c>
      <c r="P892" s="2" t="str">
        <f t="shared" si="27"/>
        <v/>
      </c>
    </row>
    <row r="893" spans="1:16" x14ac:dyDescent="0.35">
      <c r="A893" s="2" t="s">
        <v>1802</v>
      </c>
      <c r="B893" s="2" t="s">
        <v>1803</v>
      </c>
      <c r="C893" s="3">
        <v>45455</v>
      </c>
      <c r="D893" s="2" t="s">
        <v>37</v>
      </c>
      <c r="E893" s="2" t="s">
        <v>47</v>
      </c>
      <c r="G893" s="2">
        <v>105.17</v>
      </c>
      <c r="I893" s="2" t="s">
        <v>13</v>
      </c>
      <c r="J893" s="2" t="str">
        <f t="shared" si="26"/>
        <v>Jun</v>
      </c>
      <c r="K8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3" s="2" t="b">
        <v>1</v>
      </c>
      <c r="P893" s="2" t="str">
        <f t="shared" si="27"/>
        <v/>
      </c>
    </row>
    <row r="894" spans="1:16" x14ac:dyDescent="0.35">
      <c r="A894" s="2" t="s">
        <v>1804</v>
      </c>
      <c r="B894" s="2" t="s">
        <v>1805</v>
      </c>
      <c r="C894" s="3">
        <v>45564</v>
      </c>
      <c r="D894" s="2" t="s">
        <v>20</v>
      </c>
      <c r="E894" s="2" t="s">
        <v>16</v>
      </c>
      <c r="G894" s="2">
        <v>128.31</v>
      </c>
      <c r="I894" s="2" t="s">
        <v>31</v>
      </c>
      <c r="J894" s="2" t="str">
        <f t="shared" si="26"/>
        <v>Sep</v>
      </c>
      <c r="K89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4" s="2" t="b">
        <v>1</v>
      </c>
      <c r="P894" s="2">
        <f t="shared" si="27"/>
        <v>23.88</v>
      </c>
    </row>
    <row r="895" spans="1:16" x14ac:dyDescent="0.35">
      <c r="A895" s="2" t="s">
        <v>1806</v>
      </c>
      <c r="B895" s="2" t="s">
        <v>1807</v>
      </c>
      <c r="C895" s="3">
        <v>45667</v>
      </c>
      <c r="D895" s="2" t="s">
        <v>11</v>
      </c>
      <c r="E895" s="2" t="s">
        <v>24</v>
      </c>
      <c r="F895" s="2">
        <v>1</v>
      </c>
      <c r="G895" s="2">
        <v>23.88</v>
      </c>
      <c r="H895" s="2">
        <v>23.88</v>
      </c>
      <c r="I895" s="2" t="s">
        <v>21</v>
      </c>
      <c r="J895" s="2" t="str">
        <f t="shared" si="26"/>
        <v>Jan</v>
      </c>
      <c r="K895" s="4">
        <f>IF(AND(ISNUMBER(Lab2_Dataset[[#This Row],[Revenue]]), ISNUMBER(Lab2_Dataset[[#This Row],[Quantity]]), Lab2_Dataset[[#This Row],[Quantity]]&lt;&gt;0), Lab2_Dataset[[#This Row],[Revenue]]/Lab2_Dataset[[#This Row],[Quantity]], "")</f>
        <v>23.88</v>
      </c>
      <c r="O895" s="2" t="b">
        <v>0</v>
      </c>
      <c r="P895" s="2" t="str">
        <f t="shared" si="27"/>
        <v/>
      </c>
    </row>
    <row r="896" spans="1:16" x14ac:dyDescent="0.35">
      <c r="A896" s="2" t="s">
        <v>1808</v>
      </c>
      <c r="B896" s="2" t="s">
        <v>1809</v>
      </c>
      <c r="C896" s="3">
        <v>45691</v>
      </c>
      <c r="D896" s="2" t="s">
        <v>34</v>
      </c>
      <c r="E896" s="2" t="s">
        <v>24</v>
      </c>
      <c r="G896" s="2">
        <v>142.43</v>
      </c>
      <c r="I896" s="2" t="s">
        <v>31</v>
      </c>
      <c r="J896" s="2" t="str">
        <f t="shared" si="26"/>
        <v>Feb</v>
      </c>
      <c r="K8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6" s="2" t="b">
        <v>1</v>
      </c>
      <c r="P896" s="2">
        <f t="shared" si="27"/>
        <v>781.76</v>
      </c>
    </row>
    <row r="897" spans="1:16" x14ac:dyDescent="0.35">
      <c r="A897" s="2" t="s">
        <v>1810</v>
      </c>
      <c r="B897" s="2" t="s">
        <v>1811</v>
      </c>
      <c r="C897" s="3">
        <v>45706</v>
      </c>
      <c r="D897" s="2" t="s">
        <v>37</v>
      </c>
      <c r="E897" s="2" t="s">
        <v>24</v>
      </c>
      <c r="F897" s="2">
        <v>4</v>
      </c>
      <c r="G897" s="2">
        <v>195.44</v>
      </c>
      <c r="H897" s="2">
        <v>781.76</v>
      </c>
      <c r="I897" s="2" t="s">
        <v>17</v>
      </c>
      <c r="J897" s="2" t="str">
        <f t="shared" si="26"/>
        <v>Feb</v>
      </c>
      <c r="K897" s="4">
        <f>IF(AND(ISNUMBER(Lab2_Dataset[[#This Row],[Revenue]]), ISNUMBER(Lab2_Dataset[[#This Row],[Quantity]]), Lab2_Dataset[[#This Row],[Quantity]]&lt;&gt;0), Lab2_Dataset[[#This Row],[Revenue]]/Lab2_Dataset[[#This Row],[Quantity]], "")</f>
        <v>195.44</v>
      </c>
      <c r="O897" s="2" t="b">
        <v>0</v>
      </c>
      <c r="P897" s="2">
        <f t="shared" si="27"/>
        <v>575.72</v>
      </c>
    </row>
    <row r="898" spans="1:16" x14ac:dyDescent="0.35">
      <c r="A898" s="2" t="s">
        <v>1812</v>
      </c>
      <c r="B898" s="2" t="s">
        <v>1813</v>
      </c>
      <c r="C898" s="3">
        <v>45332</v>
      </c>
      <c r="D898" s="2" t="s">
        <v>11</v>
      </c>
      <c r="E898" s="2" t="s">
        <v>24</v>
      </c>
      <c r="F898" s="2">
        <v>4</v>
      </c>
      <c r="G898" s="2">
        <v>143.93</v>
      </c>
      <c r="H898" s="2">
        <v>575.72</v>
      </c>
      <c r="I898" s="2" t="s">
        <v>13</v>
      </c>
      <c r="J898" s="2" t="str">
        <f t="shared" ref="J898:J961" si="28">TEXT(C898,"mmm")</f>
        <v>Feb</v>
      </c>
      <c r="K898" s="4">
        <f>IF(AND(ISNUMBER(Lab2_Dataset[[#This Row],[Revenue]]), ISNUMBER(Lab2_Dataset[[#This Row],[Quantity]]), Lab2_Dataset[[#This Row],[Quantity]]&lt;&gt;0), Lab2_Dataset[[#This Row],[Revenue]]/Lab2_Dataset[[#This Row],[Quantity]], "")</f>
        <v>143.93</v>
      </c>
      <c r="O898" s="2" t="b">
        <v>0</v>
      </c>
      <c r="P898" s="2" t="str">
        <f t="shared" si="27"/>
        <v/>
      </c>
    </row>
    <row r="899" spans="1:16" x14ac:dyDescent="0.35">
      <c r="A899" s="2" t="s">
        <v>1814</v>
      </c>
      <c r="B899" s="2" t="s">
        <v>1815</v>
      </c>
      <c r="C899" s="3">
        <v>45133</v>
      </c>
      <c r="D899" s="2" t="s">
        <v>69</v>
      </c>
      <c r="E899" s="2" t="s">
        <v>12</v>
      </c>
      <c r="G899" s="2">
        <v>153.5</v>
      </c>
      <c r="I899" s="2" t="s">
        <v>13</v>
      </c>
      <c r="J899" s="2" t="str">
        <f t="shared" si="28"/>
        <v>Jul</v>
      </c>
      <c r="K89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899" s="2" t="b">
        <v>1</v>
      </c>
      <c r="P899" s="2" t="str">
        <f t="shared" ref="P899:P962" si="29">IF(O900=TRUE,"",F900*G900)</f>
        <v/>
      </c>
    </row>
    <row r="900" spans="1:16" x14ac:dyDescent="0.35">
      <c r="A900" s="2" t="s">
        <v>1816</v>
      </c>
      <c r="B900" s="2" t="s">
        <v>1817</v>
      </c>
      <c r="C900" s="3">
        <v>45207</v>
      </c>
      <c r="D900" s="2" t="s">
        <v>20</v>
      </c>
      <c r="E900" s="2" t="s">
        <v>12</v>
      </c>
      <c r="G900" s="2">
        <v>42.29</v>
      </c>
      <c r="I900" s="2" t="s">
        <v>21</v>
      </c>
      <c r="J900" s="2" t="str">
        <f t="shared" si="28"/>
        <v>Oct</v>
      </c>
      <c r="K90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00" s="2" t="b">
        <v>1</v>
      </c>
      <c r="P900" s="2">
        <f t="shared" si="29"/>
        <v>142.6</v>
      </c>
    </row>
    <row r="901" spans="1:16" x14ac:dyDescent="0.35">
      <c r="A901" s="2" t="s">
        <v>1818</v>
      </c>
      <c r="B901" s="2" t="s">
        <v>1819</v>
      </c>
      <c r="C901" s="3">
        <v>45084</v>
      </c>
      <c r="D901" s="2" t="s">
        <v>69</v>
      </c>
      <c r="E901" s="2" t="s">
        <v>47</v>
      </c>
      <c r="F901" s="2">
        <v>5</v>
      </c>
      <c r="G901" s="2">
        <v>28.52</v>
      </c>
      <c r="H901" s="2">
        <v>142.6</v>
      </c>
      <c r="I901" s="2" t="s">
        <v>17</v>
      </c>
      <c r="J901" s="2" t="str">
        <f t="shared" si="28"/>
        <v>Jun</v>
      </c>
      <c r="K901" s="4">
        <f>IF(AND(ISNUMBER(Lab2_Dataset[[#This Row],[Revenue]]), ISNUMBER(Lab2_Dataset[[#This Row],[Quantity]]), Lab2_Dataset[[#This Row],[Quantity]]&lt;&gt;0), Lab2_Dataset[[#This Row],[Revenue]]/Lab2_Dataset[[#This Row],[Quantity]], "")</f>
        <v>28.52</v>
      </c>
      <c r="O901" s="2" t="b">
        <v>0</v>
      </c>
      <c r="P901" s="2">
        <f t="shared" si="29"/>
        <v>524.24</v>
      </c>
    </row>
    <row r="902" spans="1:16" x14ac:dyDescent="0.35">
      <c r="A902" s="2" t="s">
        <v>1820</v>
      </c>
      <c r="B902" s="2" t="s">
        <v>1821</v>
      </c>
      <c r="C902" s="3">
        <v>45530</v>
      </c>
      <c r="D902" s="2" t="s">
        <v>11</v>
      </c>
      <c r="E902" s="2" t="s">
        <v>28</v>
      </c>
      <c r="F902" s="2">
        <v>8</v>
      </c>
      <c r="G902" s="2">
        <v>65.53</v>
      </c>
      <c r="H902" s="2">
        <v>524.24</v>
      </c>
      <c r="I902" s="2" t="s">
        <v>52</v>
      </c>
      <c r="J902" s="2" t="str">
        <f t="shared" si="28"/>
        <v>Aug</v>
      </c>
      <c r="K902" s="4">
        <f>IF(AND(ISNUMBER(Lab2_Dataset[[#This Row],[Revenue]]), ISNUMBER(Lab2_Dataset[[#This Row],[Quantity]]), Lab2_Dataset[[#This Row],[Quantity]]&lt;&gt;0), Lab2_Dataset[[#This Row],[Revenue]]/Lab2_Dataset[[#This Row],[Quantity]], "")</f>
        <v>65.53</v>
      </c>
      <c r="O902" s="2" t="b">
        <v>0</v>
      </c>
      <c r="P902" s="2">
        <f t="shared" si="29"/>
        <v>199.87</v>
      </c>
    </row>
    <row r="903" spans="1:16" x14ac:dyDescent="0.35">
      <c r="A903" s="2" t="s">
        <v>1822</v>
      </c>
      <c r="B903" s="2" t="s">
        <v>1823</v>
      </c>
      <c r="C903" s="3">
        <v>45213</v>
      </c>
      <c r="D903" s="2" t="s">
        <v>34</v>
      </c>
      <c r="E903" s="2" t="s">
        <v>28</v>
      </c>
      <c r="F903" s="2">
        <v>1</v>
      </c>
      <c r="G903" s="2">
        <v>199.87</v>
      </c>
      <c r="H903" s="2">
        <v>199.87</v>
      </c>
      <c r="I903" s="2" t="s">
        <v>13</v>
      </c>
      <c r="J903" s="2" t="str">
        <f t="shared" si="28"/>
        <v>Oct</v>
      </c>
      <c r="K903" s="4">
        <f>IF(AND(ISNUMBER(Lab2_Dataset[[#This Row],[Revenue]]), ISNUMBER(Lab2_Dataset[[#This Row],[Quantity]]), Lab2_Dataset[[#This Row],[Quantity]]&lt;&gt;0), Lab2_Dataset[[#This Row],[Revenue]]/Lab2_Dataset[[#This Row],[Quantity]], "")</f>
        <v>199.87</v>
      </c>
      <c r="O903" s="2" t="b">
        <v>0</v>
      </c>
      <c r="P903" s="2">
        <f t="shared" si="29"/>
        <v>739.17</v>
      </c>
    </row>
    <row r="904" spans="1:16" x14ac:dyDescent="0.35">
      <c r="A904" s="2" t="s">
        <v>1824</v>
      </c>
      <c r="B904" s="2" t="s">
        <v>1825</v>
      </c>
      <c r="C904" s="3">
        <v>45702</v>
      </c>
      <c r="D904" s="2" t="s">
        <v>20</v>
      </c>
      <c r="E904" s="2" t="s">
        <v>16</v>
      </c>
      <c r="F904" s="2">
        <v>9</v>
      </c>
      <c r="G904" s="2">
        <v>82.13</v>
      </c>
      <c r="H904" s="2">
        <v>739.17</v>
      </c>
      <c r="I904" s="2" t="s">
        <v>13</v>
      </c>
      <c r="J904" s="2" t="str">
        <f t="shared" si="28"/>
        <v>Feb</v>
      </c>
      <c r="K904" s="4">
        <f>IF(AND(ISNUMBER(Lab2_Dataset[[#This Row],[Revenue]]), ISNUMBER(Lab2_Dataset[[#This Row],[Quantity]]), Lab2_Dataset[[#This Row],[Quantity]]&lt;&gt;0), Lab2_Dataset[[#This Row],[Revenue]]/Lab2_Dataset[[#This Row],[Quantity]], "")</f>
        <v>82.13</v>
      </c>
      <c r="O904" s="2" t="b">
        <v>0</v>
      </c>
      <c r="P904" s="2" t="str">
        <f t="shared" si="29"/>
        <v/>
      </c>
    </row>
    <row r="905" spans="1:16" x14ac:dyDescent="0.35">
      <c r="A905" s="2" t="s">
        <v>1826</v>
      </c>
      <c r="B905" s="2" t="s">
        <v>1827</v>
      </c>
      <c r="C905" s="3">
        <v>45525</v>
      </c>
      <c r="D905" s="2" t="s">
        <v>27</v>
      </c>
      <c r="E905" s="2" t="s">
        <v>47</v>
      </c>
      <c r="G905" s="2">
        <v>128.16</v>
      </c>
      <c r="I905" s="2" t="s">
        <v>13</v>
      </c>
      <c r="J905" s="2" t="str">
        <f t="shared" si="28"/>
        <v>Aug</v>
      </c>
      <c r="K90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05" s="2" t="b">
        <v>1</v>
      </c>
      <c r="P905" s="2">
        <f t="shared" si="29"/>
        <v>191.97</v>
      </c>
    </row>
    <row r="906" spans="1:16" x14ac:dyDescent="0.35">
      <c r="A906" s="2" t="s">
        <v>1828</v>
      </c>
      <c r="B906" s="2" t="s">
        <v>1829</v>
      </c>
      <c r="C906" s="3">
        <v>45330</v>
      </c>
      <c r="D906" s="2" t="s">
        <v>37</v>
      </c>
      <c r="E906" s="2" t="s">
        <v>47</v>
      </c>
      <c r="F906" s="2">
        <v>3</v>
      </c>
      <c r="G906" s="2">
        <v>63.99</v>
      </c>
      <c r="H906" s="2">
        <v>191.97</v>
      </c>
      <c r="I906" s="2" t="s">
        <v>31</v>
      </c>
      <c r="J906" s="2" t="str">
        <f t="shared" si="28"/>
        <v>Feb</v>
      </c>
      <c r="K906" s="4">
        <f>IF(AND(ISNUMBER(Lab2_Dataset[[#This Row],[Revenue]]), ISNUMBER(Lab2_Dataset[[#This Row],[Quantity]]), Lab2_Dataset[[#This Row],[Quantity]]&lt;&gt;0), Lab2_Dataset[[#This Row],[Revenue]]/Lab2_Dataset[[#This Row],[Quantity]], "")</f>
        <v>63.99</v>
      </c>
      <c r="O906" s="2" t="b">
        <v>0</v>
      </c>
      <c r="P906" s="2" t="str">
        <f t="shared" si="29"/>
        <v/>
      </c>
    </row>
    <row r="907" spans="1:16" x14ac:dyDescent="0.35">
      <c r="A907" s="2" t="s">
        <v>1830</v>
      </c>
      <c r="B907" s="2" t="s">
        <v>1831</v>
      </c>
      <c r="C907" s="3">
        <v>45571</v>
      </c>
      <c r="D907" s="2" t="s">
        <v>34</v>
      </c>
      <c r="E907" s="2" t="s">
        <v>12</v>
      </c>
      <c r="G907" s="2">
        <v>97.7</v>
      </c>
      <c r="I907" s="2" t="s">
        <v>38</v>
      </c>
      <c r="J907" s="2" t="str">
        <f t="shared" si="28"/>
        <v>Oct</v>
      </c>
      <c r="K90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07" s="2" t="b">
        <v>1</v>
      </c>
      <c r="P907" s="2">
        <f t="shared" si="29"/>
        <v>446.04</v>
      </c>
    </row>
    <row r="908" spans="1:16" x14ac:dyDescent="0.35">
      <c r="A908" s="2" t="s">
        <v>1832</v>
      </c>
      <c r="B908" s="2" t="s">
        <v>1833</v>
      </c>
      <c r="C908" s="3">
        <v>45467</v>
      </c>
      <c r="D908" s="2" t="s">
        <v>11</v>
      </c>
      <c r="E908" s="2" t="s">
        <v>28</v>
      </c>
      <c r="F908" s="2">
        <v>9</v>
      </c>
      <c r="G908" s="2">
        <v>49.56</v>
      </c>
      <c r="H908" s="2">
        <v>446.04</v>
      </c>
      <c r="I908" s="2" t="s">
        <v>52</v>
      </c>
      <c r="J908" s="2" t="str">
        <f t="shared" si="28"/>
        <v>Jun</v>
      </c>
      <c r="K908" s="4">
        <f>IF(AND(ISNUMBER(Lab2_Dataset[[#This Row],[Revenue]]), ISNUMBER(Lab2_Dataset[[#This Row],[Quantity]]), Lab2_Dataset[[#This Row],[Quantity]]&lt;&gt;0), Lab2_Dataset[[#This Row],[Revenue]]/Lab2_Dataset[[#This Row],[Quantity]], "")</f>
        <v>49.56</v>
      </c>
      <c r="O908" s="2" t="b">
        <v>0</v>
      </c>
      <c r="P908" s="2" t="str">
        <f t="shared" si="29"/>
        <v/>
      </c>
    </row>
    <row r="909" spans="1:16" x14ac:dyDescent="0.35">
      <c r="A909" s="2" t="s">
        <v>1834</v>
      </c>
      <c r="B909" s="2" t="s">
        <v>1835</v>
      </c>
      <c r="C909" s="3">
        <v>45315</v>
      </c>
      <c r="D909" s="2" t="s">
        <v>27</v>
      </c>
      <c r="E909" s="2" t="s">
        <v>12</v>
      </c>
      <c r="G909" s="2">
        <v>100.39</v>
      </c>
      <c r="I909" s="2" t="s">
        <v>21</v>
      </c>
      <c r="J909" s="2" t="str">
        <f t="shared" si="28"/>
        <v>Jan</v>
      </c>
      <c r="K90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09" s="2" t="b">
        <v>1</v>
      </c>
      <c r="P909" s="2" t="str">
        <f t="shared" si="29"/>
        <v/>
      </c>
    </row>
    <row r="910" spans="1:16" x14ac:dyDescent="0.35">
      <c r="A910" s="2" t="s">
        <v>1836</v>
      </c>
      <c r="B910" s="2" t="s">
        <v>1837</v>
      </c>
      <c r="C910" s="3">
        <v>45230</v>
      </c>
      <c r="D910" s="2" t="s">
        <v>11</v>
      </c>
      <c r="E910" s="2" t="s">
        <v>28</v>
      </c>
      <c r="G910" s="2">
        <v>62.8</v>
      </c>
      <c r="I910" s="2" t="s">
        <v>17</v>
      </c>
      <c r="J910" s="2" t="str">
        <f t="shared" si="28"/>
        <v>Oct</v>
      </c>
      <c r="K91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10" s="2" t="b">
        <v>1</v>
      </c>
      <c r="P910" s="2" t="str">
        <f t="shared" si="29"/>
        <v/>
      </c>
    </row>
    <row r="911" spans="1:16" x14ac:dyDescent="0.35">
      <c r="A911" s="2" t="s">
        <v>1838</v>
      </c>
      <c r="B911" s="2" t="s">
        <v>1839</v>
      </c>
      <c r="C911" s="3">
        <v>45486</v>
      </c>
      <c r="D911" s="2" t="s">
        <v>34</v>
      </c>
      <c r="E911" s="2" t="s">
        <v>24</v>
      </c>
      <c r="G911" s="2">
        <v>92.64</v>
      </c>
      <c r="I911" s="2" t="s">
        <v>17</v>
      </c>
      <c r="J911" s="2" t="str">
        <f t="shared" si="28"/>
        <v>Jul</v>
      </c>
      <c r="K91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11" s="2" t="b">
        <v>1</v>
      </c>
      <c r="P911" s="2">
        <f t="shared" si="29"/>
        <v>686.1</v>
      </c>
    </row>
    <row r="912" spans="1:16" x14ac:dyDescent="0.35">
      <c r="A912" s="2" t="s">
        <v>1840</v>
      </c>
      <c r="B912" s="2" t="s">
        <v>1841</v>
      </c>
      <c r="C912" s="3">
        <v>45726</v>
      </c>
      <c r="D912" s="2" t="s">
        <v>69</v>
      </c>
      <c r="E912" s="2" t="s">
        <v>47</v>
      </c>
      <c r="F912" s="2">
        <v>5</v>
      </c>
      <c r="G912" s="2">
        <v>137.22</v>
      </c>
      <c r="H912" s="2">
        <v>686.1</v>
      </c>
      <c r="I912" s="2" t="s">
        <v>31</v>
      </c>
      <c r="J912" s="2" t="str">
        <f t="shared" si="28"/>
        <v>Mar</v>
      </c>
      <c r="K912" s="4">
        <f>IF(AND(ISNUMBER(Lab2_Dataset[[#This Row],[Revenue]]), ISNUMBER(Lab2_Dataset[[#This Row],[Quantity]]), Lab2_Dataset[[#This Row],[Quantity]]&lt;&gt;0), Lab2_Dataset[[#This Row],[Revenue]]/Lab2_Dataset[[#This Row],[Quantity]], "")</f>
        <v>137.22</v>
      </c>
      <c r="O912" s="2" t="b">
        <v>0</v>
      </c>
      <c r="P912" s="2" t="str">
        <f t="shared" si="29"/>
        <v/>
      </c>
    </row>
    <row r="913" spans="1:16" x14ac:dyDescent="0.35">
      <c r="A913" s="2" t="s">
        <v>1842</v>
      </c>
      <c r="B913" s="2" t="s">
        <v>1843</v>
      </c>
      <c r="C913" s="3">
        <v>45286</v>
      </c>
      <c r="D913" s="2" t="s">
        <v>34</v>
      </c>
      <c r="E913" s="2" t="s">
        <v>16</v>
      </c>
      <c r="G913" s="2">
        <v>113.43</v>
      </c>
      <c r="I913" s="2" t="s">
        <v>13</v>
      </c>
      <c r="J913" s="2" t="str">
        <f t="shared" si="28"/>
        <v>Dec</v>
      </c>
      <c r="K91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13" s="2" t="b">
        <v>1</v>
      </c>
      <c r="P913" s="2">
        <f t="shared" si="29"/>
        <v>166.64</v>
      </c>
    </row>
    <row r="914" spans="1:16" x14ac:dyDescent="0.35">
      <c r="A914" s="2" t="s">
        <v>1844</v>
      </c>
      <c r="B914" s="2" t="s">
        <v>1845</v>
      </c>
      <c r="C914" s="3">
        <v>45233</v>
      </c>
      <c r="D914" s="2" t="s">
        <v>34</v>
      </c>
      <c r="E914" s="2" t="s">
        <v>16</v>
      </c>
      <c r="F914" s="2">
        <v>4</v>
      </c>
      <c r="G914" s="2">
        <v>41.66</v>
      </c>
      <c r="H914" s="2">
        <v>166.64</v>
      </c>
      <c r="I914" s="2" t="s">
        <v>31</v>
      </c>
      <c r="J914" s="2" t="str">
        <f t="shared" si="28"/>
        <v>Nov</v>
      </c>
      <c r="K914" s="4">
        <f>IF(AND(ISNUMBER(Lab2_Dataset[[#This Row],[Revenue]]), ISNUMBER(Lab2_Dataset[[#This Row],[Quantity]]), Lab2_Dataset[[#This Row],[Quantity]]&lt;&gt;0), Lab2_Dataset[[#This Row],[Revenue]]/Lab2_Dataset[[#This Row],[Quantity]], "")</f>
        <v>41.66</v>
      </c>
      <c r="O914" s="2" t="b">
        <v>0</v>
      </c>
      <c r="P914" s="2">
        <f t="shared" si="29"/>
        <v>205.07999999999998</v>
      </c>
    </row>
    <row r="915" spans="1:16" x14ac:dyDescent="0.35">
      <c r="A915" s="2" t="s">
        <v>1846</v>
      </c>
      <c r="B915" s="2" t="s">
        <v>1847</v>
      </c>
      <c r="C915" s="3">
        <v>45456</v>
      </c>
      <c r="D915" s="2" t="s">
        <v>20</v>
      </c>
      <c r="E915" s="2" t="s">
        <v>24</v>
      </c>
      <c r="F915" s="2">
        <v>6</v>
      </c>
      <c r="G915" s="2">
        <v>34.18</v>
      </c>
      <c r="H915" s="2">
        <v>205.08</v>
      </c>
      <c r="I915" s="2" t="s">
        <v>17</v>
      </c>
      <c r="J915" s="2" t="str">
        <f t="shared" si="28"/>
        <v>Jun</v>
      </c>
      <c r="K915" s="4">
        <f>IF(AND(ISNUMBER(Lab2_Dataset[[#This Row],[Revenue]]), ISNUMBER(Lab2_Dataset[[#This Row],[Quantity]]), Lab2_Dataset[[#This Row],[Quantity]]&lt;&gt;0), Lab2_Dataset[[#This Row],[Revenue]]/Lab2_Dataset[[#This Row],[Quantity]], "")</f>
        <v>34.18</v>
      </c>
      <c r="O915" s="2" t="b">
        <v>0</v>
      </c>
      <c r="P915" s="2">
        <f t="shared" si="29"/>
        <v>103.25</v>
      </c>
    </row>
    <row r="916" spans="1:16" x14ac:dyDescent="0.35">
      <c r="A916" s="2" t="s">
        <v>1848</v>
      </c>
      <c r="B916" s="2" t="s">
        <v>1849</v>
      </c>
      <c r="C916" s="3">
        <v>45245</v>
      </c>
      <c r="D916" s="2" t="s">
        <v>27</v>
      </c>
      <c r="E916" s="2" t="s">
        <v>47</v>
      </c>
      <c r="F916" s="2">
        <v>7</v>
      </c>
      <c r="G916" s="2">
        <v>14.75</v>
      </c>
      <c r="H916" s="2">
        <v>103.25</v>
      </c>
      <c r="I916" s="2" t="s">
        <v>38</v>
      </c>
      <c r="J916" s="2" t="str">
        <f t="shared" si="28"/>
        <v>Nov</v>
      </c>
      <c r="K916" s="4">
        <f>IF(AND(ISNUMBER(Lab2_Dataset[[#This Row],[Revenue]]), ISNUMBER(Lab2_Dataset[[#This Row],[Quantity]]), Lab2_Dataset[[#This Row],[Quantity]]&lt;&gt;0), Lab2_Dataset[[#This Row],[Revenue]]/Lab2_Dataset[[#This Row],[Quantity]], "")</f>
        <v>14.75</v>
      </c>
      <c r="O916" s="2" t="b">
        <v>0</v>
      </c>
      <c r="P916" s="2" t="str">
        <f t="shared" si="29"/>
        <v/>
      </c>
    </row>
    <row r="917" spans="1:16" x14ac:dyDescent="0.35">
      <c r="A917" s="2" t="s">
        <v>1850</v>
      </c>
      <c r="B917" s="2" t="s">
        <v>1851</v>
      </c>
      <c r="C917" s="3">
        <v>45467</v>
      </c>
      <c r="D917" s="2" t="s">
        <v>69</v>
      </c>
      <c r="E917" s="2" t="s">
        <v>47</v>
      </c>
      <c r="G917" s="2">
        <v>170.67</v>
      </c>
      <c r="I917" s="2" t="s">
        <v>52</v>
      </c>
      <c r="J917" s="2" t="str">
        <f t="shared" si="28"/>
        <v>Jun</v>
      </c>
      <c r="K91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17" s="2" t="b">
        <v>1</v>
      </c>
      <c r="P917" s="2">
        <f t="shared" si="29"/>
        <v>164.76</v>
      </c>
    </row>
    <row r="918" spans="1:16" x14ac:dyDescent="0.35">
      <c r="A918" s="2" t="s">
        <v>1852</v>
      </c>
      <c r="B918" s="2" t="s">
        <v>1853</v>
      </c>
      <c r="C918" s="3">
        <v>45376</v>
      </c>
      <c r="D918" s="2" t="s">
        <v>37</v>
      </c>
      <c r="E918" s="2" t="s">
        <v>28</v>
      </c>
      <c r="F918" s="2">
        <v>1</v>
      </c>
      <c r="G918" s="2">
        <v>164.76</v>
      </c>
      <c r="H918" s="2">
        <v>164.76</v>
      </c>
      <c r="I918" s="2" t="s">
        <v>17</v>
      </c>
      <c r="J918" s="2" t="str">
        <f t="shared" si="28"/>
        <v>Mar</v>
      </c>
      <c r="K918" s="4">
        <f>IF(AND(ISNUMBER(Lab2_Dataset[[#This Row],[Revenue]]), ISNUMBER(Lab2_Dataset[[#This Row],[Quantity]]), Lab2_Dataset[[#This Row],[Quantity]]&lt;&gt;0), Lab2_Dataset[[#This Row],[Revenue]]/Lab2_Dataset[[#This Row],[Quantity]], "")</f>
        <v>164.76</v>
      </c>
      <c r="O918" s="2" t="b">
        <v>0</v>
      </c>
      <c r="P918" s="2">
        <f t="shared" si="29"/>
        <v>411.96</v>
      </c>
    </row>
    <row r="919" spans="1:16" x14ac:dyDescent="0.35">
      <c r="A919" s="2" t="s">
        <v>1854</v>
      </c>
      <c r="B919" s="2" t="s">
        <v>1855</v>
      </c>
      <c r="C919" s="3">
        <v>45367</v>
      </c>
      <c r="D919" s="2" t="s">
        <v>69</v>
      </c>
      <c r="E919" s="2" t="s">
        <v>12</v>
      </c>
      <c r="F919" s="2">
        <v>6</v>
      </c>
      <c r="G919" s="2">
        <v>68.66</v>
      </c>
      <c r="H919" s="2">
        <v>411.96</v>
      </c>
      <c r="I919" s="2" t="s">
        <v>17</v>
      </c>
      <c r="J919" s="2" t="str">
        <f t="shared" si="28"/>
        <v>Mar</v>
      </c>
      <c r="K919" s="4">
        <f>IF(AND(ISNUMBER(Lab2_Dataset[[#This Row],[Revenue]]), ISNUMBER(Lab2_Dataset[[#This Row],[Quantity]]), Lab2_Dataset[[#This Row],[Quantity]]&lt;&gt;0), Lab2_Dataset[[#This Row],[Revenue]]/Lab2_Dataset[[#This Row],[Quantity]], "")</f>
        <v>68.66</v>
      </c>
      <c r="O919" s="2" t="b">
        <v>0</v>
      </c>
      <c r="P919" s="2" t="str">
        <f t="shared" si="29"/>
        <v/>
      </c>
    </row>
    <row r="920" spans="1:16" x14ac:dyDescent="0.35">
      <c r="A920" s="2" t="s">
        <v>1856</v>
      </c>
      <c r="B920" s="2" t="s">
        <v>1857</v>
      </c>
      <c r="C920" s="3">
        <v>45419</v>
      </c>
      <c r="D920" s="2" t="s">
        <v>27</v>
      </c>
      <c r="E920" s="2" t="s">
        <v>24</v>
      </c>
      <c r="G920" s="2">
        <v>156.03</v>
      </c>
      <c r="I920" s="2" t="s">
        <v>38</v>
      </c>
      <c r="J920" s="2" t="str">
        <f t="shared" si="28"/>
        <v>May</v>
      </c>
      <c r="K92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20" s="2" t="b">
        <v>1</v>
      </c>
      <c r="P920" s="2">
        <f t="shared" si="29"/>
        <v>296.79000000000002</v>
      </c>
    </row>
    <row r="921" spans="1:16" x14ac:dyDescent="0.35">
      <c r="A921" s="2" t="s">
        <v>1858</v>
      </c>
      <c r="B921" s="2" t="s">
        <v>1859</v>
      </c>
      <c r="C921" s="3">
        <v>45698</v>
      </c>
      <c r="D921" s="2" t="s">
        <v>69</v>
      </c>
      <c r="E921" s="2" t="s">
        <v>16</v>
      </c>
      <c r="F921" s="2">
        <v>3</v>
      </c>
      <c r="G921" s="2">
        <v>98.93</v>
      </c>
      <c r="H921" s="2">
        <v>296.79000000000002</v>
      </c>
      <c r="I921" s="2" t="s">
        <v>38</v>
      </c>
      <c r="J921" s="2" t="str">
        <f t="shared" si="28"/>
        <v>Feb</v>
      </c>
      <c r="K921" s="4">
        <f>IF(AND(ISNUMBER(Lab2_Dataset[[#This Row],[Revenue]]), ISNUMBER(Lab2_Dataset[[#This Row],[Quantity]]), Lab2_Dataset[[#This Row],[Quantity]]&lt;&gt;0), Lab2_Dataset[[#This Row],[Revenue]]/Lab2_Dataset[[#This Row],[Quantity]], "")</f>
        <v>98.93</v>
      </c>
      <c r="O921" s="2" t="b">
        <v>0</v>
      </c>
      <c r="P921" s="2">
        <f t="shared" si="29"/>
        <v>1088.8</v>
      </c>
    </row>
    <row r="922" spans="1:16" x14ac:dyDescent="0.35">
      <c r="A922" s="2" t="s">
        <v>1860</v>
      </c>
      <c r="B922" s="2" t="s">
        <v>1861</v>
      </c>
      <c r="C922" s="3">
        <v>45472</v>
      </c>
      <c r="D922" s="2" t="s">
        <v>69</v>
      </c>
      <c r="E922" s="2" t="s">
        <v>24</v>
      </c>
      <c r="F922" s="2">
        <v>8</v>
      </c>
      <c r="G922" s="2">
        <v>136.1</v>
      </c>
      <c r="H922" s="2">
        <v>1088.8</v>
      </c>
      <c r="I922" s="2" t="s">
        <v>52</v>
      </c>
      <c r="J922" s="2" t="str">
        <f t="shared" si="28"/>
        <v>Jun</v>
      </c>
      <c r="K922" s="4">
        <f>IF(AND(ISNUMBER(Lab2_Dataset[[#This Row],[Revenue]]), ISNUMBER(Lab2_Dataset[[#This Row],[Quantity]]), Lab2_Dataset[[#This Row],[Quantity]]&lt;&gt;0), Lab2_Dataset[[#This Row],[Revenue]]/Lab2_Dataset[[#This Row],[Quantity]], "")</f>
        <v>136.1</v>
      </c>
      <c r="O922" s="2" t="b">
        <v>0</v>
      </c>
      <c r="P922" s="2">
        <f t="shared" si="29"/>
        <v>843.25</v>
      </c>
    </row>
    <row r="923" spans="1:16" x14ac:dyDescent="0.35">
      <c r="A923" s="2" t="s">
        <v>1862</v>
      </c>
      <c r="B923" s="2" t="s">
        <v>1863</v>
      </c>
      <c r="C923" s="3">
        <v>45375</v>
      </c>
      <c r="D923" s="2" t="s">
        <v>11</v>
      </c>
      <c r="E923" s="2" t="s">
        <v>16</v>
      </c>
      <c r="F923" s="2">
        <v>5</v>
      </c>
      <c r="G923" s="2">
        <v>168.65</v>
      </c>
      <c r="H923" s="2">
        <v>843.25</v>
      </c>
      <c r="I923" s="2" t="s">
        <v>17</v>
      </c>
      <c r="J923" s="2" t="str">
        <f t="shared" si="28"/>
        <v>Mar</v>
      </c>
      <c r="K923" s="4">
        <f>IF(AND(ISNUMBER(Lab2_Dataset[[#This Row],[Revenue]]), ISNUMBER(Lab2_Dataset[[#This Row],[Quantity]]), Lab2_Dataset[[#This Row],[Quantity]]&lt;&gt;0), Lab2_Dataset[[#This Row],[Revenue]]/Lab2_Dataset[[#This Row],[Quantity]], "")</f>
        <v>168.65</v>
      </c>
      <c r="O923" s="2" t="b">
        <v>0</v>
      </c>
      <c r="P923" s="2">
        <f t="shared" si="29"/>
        <v>965.16</v>
      </c>
    </row>
    <row r="924" spans="1:16" x14ac:dyDescent="0.35">
      <c r="A924" s="2" t="s">
        <v>1864</v>
      </c>
      <c r="B924" s="2" t="s">
        <v>1865</v>
      </c>
      <c r="C924" s="3">
        <v>45161</v>
      </c>
      <c r="D924" s="2" t="s">
        <v>69</v>
      </c>
      <c r="E924" s="2" t="s">
        <v>12</v>
      </c>
      <c r="F924" s="2">
        <v>9</v>
      </c>
      <c r="G924" s="2">
        <v>107.24</v>
      </c>
      <c r="H924" s="2">
        <v>965.16</v>
      </c>
      <c r="I924" s="2" t="s">
        <v>17</v>
      </c>
      <c r="J924" s="2" t="str">
        <f t="shared" si="28"/>
        <v>Aug</v>
      </c>
      <c r="K924" s="4">
        <f>IF(AND(ISNUMBER(Lab2_Dataset[[#This Row],[Revenue]]), ISNUMBER(Lab2_Dataset[[#This Row],[Quantity]]), Lab2_Dataset[[#This Row],[Quantity]]&lt;&gt;0), Lab2_Dataset[[#This Row],[Revenue]]/Lab2_Dataset[[#This Row],[Quantity]], "")</f>
        <v>107.24</v>
      </c>
      <c r="O924" s="2" t="b">
        <v>0</v>
      </c>
      <c r="P924" s="2" t="str">
        <f t="shared" si="29"/>
        <v/>
      </c>
    </row>
    <row r="925" spans="1:16" x14ac:dyDescent="0.35">
      <c r="A925" s="2" t="s">
        <v>1866</v>
      </c>
      <c r="B925" s="2" t="s">
        <v>1867</v>
      </c>
      <c r="C925" s="3">
        <v>45610</v>
      </c>
      <c r="D925" s="2" t="s">
        <v>34</v>
      </c>
      <c r="E925" s="2" t="s">
        <v>24</v>
      </c>
      <c r="G925" s="2">
        <v>192.39</v>
      </c>
      <c r="I925" s="2" t="s">
        <v>31</v>
      </c>
      <c r="J925" s="2" t="str">
        <f t="shared" si="28"/>
        <v>Nov</v>
      </c>
      <c r="K925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25" s="2" t="b">
        <v>1</v>
      </c>
      <c r="P925" s="2">
        <f t="shared" si="29"/>
        <v>986.04</v>
      </c>
    </row>
    <row r="926" spans="1:16" x14ac:dyDescent="0.35">
      <c r="A926" s="2" t="s">
        <v>1868</v>
      </c>
      <c r="B926" s="2" t="s">
        <v>1869</v>
      </c>
      <c r="C926" s="3">
        <v>45239</v>
      </c>
      <c r="D926" s="2" t="s">
        <v>20</v>
      </c>
      <c r="E926" s="2" t="s">
        <v>47</v>
      </c>
      <c r="F926" s="2">
        <v>9</v>
      </c>
      <c r="G926" s="2">
        <v>109.56</v>
      </c>
      <c r="H926" s="2">
        <v>986.04</v>
      </c>
      <c r="I926" s="2" t="s">
        <v>31</v>
      </c>
      <c r="J926" s="2" t="str">
        <f t="shared" si="28"/>
        <v>Nov</v>
      </c>
      <c r="K926" s="4">
        <f>IF(AND(ISNUMBER(Lab2_Dataset[[#This Row],[Revenue]]), ISNUMBER(Lab2_Dataset[[#This Row],[Quantity]]), Lab2_Dataset[[#This Row],[Quantity]]&lt;&gt;0), Lab2_Dataset[[#This Row],[Revenue]]/Lab2_Dataset[[#This Row],[Quantity]], "")</f>
        <v>109.56</v>
      </c>
      <c r="O926" s="2" t="b">
        <v>0</v>
      </c>
      <c r="P926" s="2">
        <f t="shared" si="29"/>
        <v>108.6</v>
      </c>
    </row>
    <row r="927" spans="1:16" x14ac:dyDescent="0.35">
      <c r="A927" s="2" t="s">
        <v>1870</v>
      </c>
      <c r="B927" s="2" t="s">
        <v>1871</v>
      </c>
      <c r="C927" s="3">
        <v>45335</v>
      </c>
      <c r="D927" s="2" t="s">
        <v>69</v>
      </c>
      <c r="E927" s="2" t="s">
        <v>47</v>
      </c>
      <c r="F927" s="2">
        <v>4</v>
      </c>
      <c r="G927" s="2">
        <v>27.15</v>
      </c>
      <c r="H927" s="2">
        <v>108.6</v>
      </c>
      <c r="I927" s="2" t="s">
        <v>31</v>
      </c>
      <c r="J927" s="2" t="str">
        <f t="shared" si="28"/>
        <v>Feb</v>
      </c>
      <c r="K927" s="4">
        <f>IF(AND(ISNUMBER(Lab2_Dataset[[#This Row],[Revenue]]), ISNUMBER(Lab2_Dataset[[#This Row],[Quantity]]), Lab2_Dataset[[#This Row],[Quantity]]&lt;&gt;0), Lab2_Dataset[[#This Row],[Revenue]]/Lab2_Dataset[[#This Row],[Quantity]], "")</f>
        <v>27.15</v>
      </c>
      <c r="O927" s="2" t="b">
        <v>0</v>
      </c>
      <c r="P927" s="2" t="str">
        <f t="shared" si="29"/>
        <v/>
      </c>
    </row>
    <row r="928" spans="1:16" x14ac:dyDescent="0.35">
      <c r="A928" s="2" t="s">
        <v>1872</v>
      </c>
      <c r="B928" s="2" t="s">
        <v>1873</v>
      </c>
      <c r="C928" s="3">
        <v>45649</v>
      </c>
      <c r="D928" s="2" t="s">
        <v>27</v>
      </c>
      <c r="E928" s="2" t="s">
        <v>24</v>
      </c>
      <c r="G928" s="2">
        <v>163.63999999999999</v>
      </c>
      <c r="I928" s="2" t="s">
        <v>52</v>
      </c>
      <c r="J928" s="2" t="str">
        <f t="shared" si="28"/>
        <v>Dec</v>
      </c>
      <c r="K92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28" s="2" t="b">
        <v>1</v>
      </c>
      <c r="P928" s="2" t="str">
        <f t="shared" si="29"/>
        <v/>
      </c>
    </row>
    <row r="929" spans="1:16" x14ac:dyDescent="0.35">
      <c r="A929" s="2" t="s">
        <v>1874</v>
      </c>
      <c r="B929" s="2" t="s">
        <v>1875</v>
      </c>
      <c r="C929" s="3">
        <v>45302</v>
      </c>
      <c r="D929" s="2" t="s">
        <v>37</v>
      </c>
      <c r="E929" s="2" t="s">
        <v>24</v>
      </c>
      <c r="G929" s="2">
        <v>72.11</v>
      </c>
      <c r="I929" s="2" t="s">
        <v>13</v>
      </c>
      <c r="J929" s="2" t="str">
        <f t="shared" si="28"/>
        <v>Jan</v>
      </c>
      <c r="K92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29" s="2" t="b">
        <v>1</v>
      </c>
      <c r="P929" s="2">
        <f t="shared" si="29"/>
        <v>451.17</v>
      </c>
    </row>
    <row r="930" spans="1:16" x14ac:dyDescent="0.35">
      <c r="A930" s="2" t="s">
        <v>1876</v>
      </c>
      <c r="B930" s="2" t="s">
        <v>1877</v>
      </c>
      <c r="C930" s="3">
        <v>45776</v>
      </c>
      <c r="D930" s="2" t="s">
        <v>37</v>
      </c>
      <c r="E930" s="2" t="s">
        <v>12</v>
      </c>
      <c r="F930" s="2">
        <v>9</v>
      </c>
      <c r="G930" s="2">
        <v>50.13</v>
      </c>
      <c r="H930" s="2">
        <v>451.17</v>
      </c>
      <c r="I930" s="2" t="s">
        <v>21</v>
      </c>
      <c r="J930" s="2" t="str">
        <f t="shared" si="28"/>
        <v>Apr</v>
      </c>
      <c r="K930" s="4">
        <f>IF(AND(ISNUMBER(Lab2_Dataset[[#This Row],[Revenue]]), ISNUMBER(Lab2_Dataset[[#This Row],[Quantity]]), Lab2_Dataset[[#This Row],[Quantity]]&lt;&gt;0), Lab2_Dataset[[#This Row],[Revenue]]/Lab2_Dataset[[#This Row],[Quantity]], "")</f>
        <v>50.13</v>
      </c>
      <c r="O930" s="2" t="b">
        <v>0</v>
      </c>
      <c r="P930" s="2" t="str">
        <f t="shared" si="29"/>
        <v/>
      </c>
    </row>
    <row r="931" spans="1:16" x14ac:dyDescent="0.35">
      <c r="A931" s="2" t="s">
        <v>1878</v>
      </c>
      <c r="B931" s="2" t="s">
        <v>583</v>
      </c>
      <c r="C931" s="3">
        <v>45131</v>
      </c>
      <c r="D931" s="2" t="s">
        <v>37</v>
      </c>
      <c r="E931" s="2" t="s">
        <v>12</v>
      </c>
      <c r="G931" s="2">
        <v>133.96</v>
      </c>
      <c r="I931" s="2" t="s">
        <v>17</v>
      </c>
      <c r="J931" s="2" t="str">
        <f t="shared" si="28"/>
        <v>Jul</v>
      </c>
      <c r="K93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31" s="2" t="b">
        <v>1</v>
      </c>
      <c r="P931" s="2">
        <f t="shared" si="29"/>
        <v>348.92</v>
      </c>
    </row>
    <row r="932" spans="1:16" x14ac:dyDescent="0.35">
      <c r="A932" s="2" t="s">
        <v>1879</v>
      </c>
      <c r="B932" s="2" t="s">
        <v>1880</v>
      </c>
      <c r="C932" s="3">
        <v>45628</v>
      </c>
      <c r="D932" s="2" t="s">
        <v>27</v>
      </c>
      <c r="E932" s="2" t="s">
        <v>47</v>
      </c>
      <c r="F932" s="2">
        <v>4</v>
      </c>
      <c r="G932" s="2">
        <v>87.23</v>
      </c>
      <c r="H932" s="2">
        <v>348.92</v>
      </c>
      <c r="I932" s="2" t="s">
        <v>17</v>
      </c>
      <c r="J932" s="2" t="str">
        <f t="shared" si="28"/>
        <v>Dec</v>
      </c>
      <c r="K932" s="4">
        <f>IF(AND(ISNUMBER(Lab2_Dataset[[#This Row],[Revenue]]), ISNUMBER(Lab2_Dataset[[#This Row],[Quantity]]), Lab2_Dataset[[#This Row],[Quantity]]&lt;&gt;0), Lab2_Dataset[[#This Row],[Revenue]]/Lab2_Dataset[[#This Row],[Quantity]], "")</f>
        <v>87.23</v>
      </c>
      <c r="O932" s="2" t="b">
        <v>0</v>
      </c>
      <c r="P932" s="2" t="str">
        <f t="shared" si="29"/>
        <v/>
      </c>
    </row>
    <row r="933" spans="1:16" x14ac:dyDescent="0.35">
      <c r="A933" s="2" t="s">
        <v>1881</v>
      </c>
      <c r="B933" s="2" t="s">
        <v>1882</v>
      </c>
      <c r="C933" s="3">
        <v>45541</v>
      </c>
      <c r="D933" s="2" t="s">
        <v>27</v>
      </c>
      <c r="E933" s="2" t="s">
        <v>24</v>
      </c>
      <c r="G933" s="2">
        <v>161</v>
      </c>
      <c r="I933" s="2" t="s">
        <v>52</v>
      </c>
      <c r="J933" s="2" t="str">
        <f t="shared" si="28"/>
        <v>Sep</v>
      </c>
      <c r="K93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33" s="2" t="b">
        <v>1</v>
      </c>
      <c r="P933" s="2">
        <f t="shared" si="29"/>
        <v>251.28000000000003</v>
      </c>
    </row>
    <row r="934" spans="1:16" x14ac:dyDescent="0.35">
      <c r="A934" s="2" t="s">
        <v>1883</v>
      </c>
      <c r="B934" s="2" t="s">
        <v>1884</v>
      </c>
      <c r="C934" s="3">
        <v>45555</v>
      </c>
      <c r="D934" s="2" t="s">
        <v>27</v>
      </c>
      <c r="E934" s="2" t="s">
        <v>24</v>
      </c>
      <c r="F934" s="2">
        <v>6</v>
      </c>
      <c r="G934" s="2">
        <v>41.88</v>
      </c>
      <c r="H934" s="2">
        <v>251.28</v>
      </c>
      <c r="I934" s="2" t="s">
        <v>31</v>
      </c>
      <c r="J934" s="2" t="str">
        <f t="shared" si="28"/>
        <v>Sep</v>
      </c>
      <c r="K934" s="4">
        <f>IF(AND(ISNUMBER(Lab2_Dataset[[#This Row],[Revenue]]), ISNUMBER(Lab2_Dataset[[#This Row],[Quantity]]), Lab2_Dataset[[#This Row],[Quantity]]&lt;&gt;0), Lab2_Dataset[[#This Row],[Revenue]]/Lab2_Dataset[[#This Row],[Quantity]], "")</f>
        <v>41.88</v>
      </c>
      <c r="O934" s="2" t="b">
        <v>0</v>
      </c>
      <c r="P934" s="2">
        <f t="shared" si="29"/>
        <v>272.82</v>
      </c>
    </row>
    <row r="935" spans="1:16" x14ac:dyDescent="0.35">
      <c r="A935" s="2" t="s">
        <v>1885</v>
      </c>
      <c r="B935" s="2" t="s">
        <v>1886</v>
      </c>
      <c r="C935" s="3">
        <v>45265</v>
      </c>
      <c r="D935" s="2" t="s">
        <v>69</v>
      </c>
      <c r="E935" s="2" t="s">
        <v>16</v>
      </c>
      <c r="F935" s="2">
        <v>2</v>
      </c>
      <c r="G935" s="2">
        <v>136.41</v>
      </c>
      <c r="H935" s="2">
        <v>272.82</v>
      </c>
      <c r="I935" s="2" t="s">
        <v>38</v>
      </c>
      <c r="J935" s="2" t="str">
        <f t="shared" si="28"/>
        <v>Dec</v>
      </c>
      <c r="K935" s="4">
        <f>IF(AND(ISNUMBER(Lab2_Dataset[[#This Row],[Revenue]]), ISNUMBER(Lab2_Dataset[[#This Row],[Quantity]]), Lab2_Dataset[[#This Row],[Quantity]]&lt;&gt;0), Lab2_Dataset[[#This Row],[Revenue]]/Lab2_Dataset[[#This Row],[Quantity]], "")</f>
        <v>136.41</v>
      </c>
      <c r="O935" s="2" t="b">
        <v>0</v>
      </c>
      <c r="P935" s="2" t="str">
        <f t="shared" si="29"/>
        <v/>
      </c>
    </row>
    <row r="936" spans="1:16" x14ac:dyDescent="0.35">
      <c r="A936" s="2" t="s">
        <v>1887</v>
      </c>
      <c r="B936" s="2" t="s">
        <v>1888</v>
      </c>
      <c r="C936" s="3">
        <v>45301</v>
      </c>
      <c r="D936" s="2" t="s">
        <v>27</v>
      </c>
      <c r="E936" s="2" t="s">
        <v>16</v>
      </c>
      <c r="G936" s="2">
        <v>109.92</v>
      </c>
      <c r="I936" s="2" t="s">
        <v>52</v>
      </c>
      <c r="J936" s="2" t="str">
        <f t="shared" si="28"/>
        <v>Jan</v>
      </c>
      <c r="K93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36" s="2" t="b">
        <v>1</v>
      </c>
      <c r="P936" s="2" t="str">
        <f t="shared" si="29"/>
        <v/>
      </c>
    </row>
    <row r="937" spans="1:16" x14ac:dyDescent="0.35">
      <c r="A937" s="2" t="s">
        <v>1889</v>
      </c>
      <c r="B937" s="2" t="s">
        <v>1890</v>
      </c>
      <c r="C937" s="3">
        <v>45140</v>
      </c>
      <c r="D937" s="2" t="s">
        <v>69</v>
      </c>
      <c r="E937" s="2" t="s">
        <v>28</v>
      </c>
      <c r="G937" s="2">
        <v>92.63</v>
      </c>
      <c r="I937" s="2" t="s">
        <v>38</v>
      </c>
      <c r="J937" s="2" t="str">
        <f t="shared" si="28"/>
        <v>Aug</v>
      </c>
      <c r="K93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37" s="2" t="b">
        <v>1</v>
      </c>
      <c r="P937" s="2">
        <f t="shared" si="29"/>
        <v>278.18</v>
      </c>
    </row>
    <row r="938" spans="1:16" x14ac:dyDescent="0.35">
      <c r="A938" s="2" t="s">
        <v>1891</v>
      </c>
      <c r="B938" s="2" t="s">
        <v>1892</v>
      </c>
      <c r="C938" s="3">
        <v>45562</v>
      </c>
      <c r="D938" s="2" t="s">
        <v>20</v>
      </c>
      <c r="E938" s="2" t="s">
        <v>12</v>
      </c>
      <c r="F938" s="2">
        <v>2</v>
      </c>
      <c r="G938" s="2">
        <v>139.09</v>
      </c>
      <c r="H938" s="2">
        <v>278.18</v>
      </c>
      <c r="I938" s="2" t="s">
        <v>52</v>
      </c>
      <c r="J938" s="2" t="str">
        <f t="shared" si="28"/>
        <v>Sep</v>
      </c>
      <c r="K938" s="4">
        <f>IF(AND(ISNUMBER(Lab2_Dataset[[#This Row],[Revenue]]), ISNUMBER(Lab2_Dataset[[#This Row],[Quantity]]), Lab2_Dataset[[#This Row],[Quantity]]&lt;&gt;0), Lab2_Dataset[[#This Row],[Revenue]]/Lab2_Dataset[[#This Row],[Quantity]], "")</f>
        <v>139.09</v>
      </c>
      <c r="O938" s="2" t="b">
        <v>0</v>
      </c>
      <c r="P938" s="2">
        <f t="shared" si="29"/>
        <v>84.1</v>
      </c>
    </row>
    <row r="939" spans="1:16" x14ac:dyDescent="0.35">
      <c r="A939" s="2" t="s">
        <v>1893</v>
      </c>
      <c r="B939" s="2" t="s">
        <v>1894</v>
      </c>
      <c r="C939" s="3">
        <v>45414</v>
      </c>
      <c r="D939" s="2" t="s">
        <v>37</v>
      </c>
      <c r="E939" s="2" t="s">
        <v>24</v>
      </c>
      <c r="F939" s="2">
        <v>1</v>
      </c>
      <c r="G939" s="2">
        <v>84.1</v>
      </c>
      <c r="H939" s="2">
        <v>84.1</v>
      </c>
      <c r="I939" s="2" t="s">
        <v>13</v>
      </c>
      <c r="J939" s="2" t="str">
        <f t="shared" si="28"/>
        <v>May</v>
      </c>
      <c r="K939" s="4">
        <f>IF(AND(ISNUMBER(Lab2_Dataset[[#This Row],[Revenue]]), ISNUMBER(Lab2_Dataset[[#This Row],[Quantity]]), Lab2_Dataset[[#This Row],[Quantity]]&lt;&gt;0), Lab2_Dataset[[#This Row],[Revenue]]/Lab2_Dataset[[#This Row],[Quantity]], "")</f>
        <v>84.1</v>
      </c>
      <c r="O939" s="2" t="b">
        <v>0</v>
      </c>
      <c r="P939" s="2" t="str">
        <f t="shared" si="29"/>
        <v/>
      </c>
    </row>
    <row r="940" spans="1:16" x14ac:dyDescent="0.35">
      <c r="A940" s="2" t="s">
        <v>1895</v>
      </c>
      <c r="B940" s="2" t="s">
        <v>1896</v>
      </c>
      <c r="C940" s="3">
        <v>45454</v>
      </c>
      <c r="D940" s="2" t="s">
        <v>20</v>
      </c>
      <c r="E940" s="2" t="s">
        <v>24</v>
      </c>
      <c r="G940" s="2">
        <v>106.09</v>
      </c>
      <c r="I940" s="2" t="s">
        <v>13</v>
      </c>
      <c r="J940" s="2" t="str">
        <f t="shared" si="28"/>
        <v>Jun</v>
      </c>
      <c r="K94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40" s="2" t="b">
        <v>1</v>
      </c>
      <c r="P940" s="2">
        <f t="shared" si="29"/>
        <v>253.20000000000002</v>
      </c>
    </row>
    <row r="941" spans="1:16" x14ac:dyDescent="0.35">
      <c r="A941" s="2" t="s">
        <v>1897</v>
      </c>
      <c r="B941" s="2" t="s">
        <v>1898</v>
      </c>
      <c r="C941" s="3">
        <v>45580</v>
      </c>
      <c r="D941" s="2" t="s">
        <v>11</v>
      </c>
      <c r="E941" s="2" t="s">
        <v>24</v>
      </c>
      <c r="F941" s="2">
        <v>6</v>
      </c>
      <c r="G941" s="2">
        <v>42.2</v>
      </c>
      <c r="H941" s="2">
        <v>253.2</v>
      </c>
      <c r="I941" s="2" t="s">
        <v>17</v>
      </c>
      <c r="J941" s="2" t="str">
        <f t="shared" si="28"/>
        <v>Oct</v>
      </c>
      <c r="K941" s="4">
        <f>IF(AND(ISNUMBER(Lab2_Dataset[[#This Row],[Revenue]]), ISNUMBER(Lab2_Dataset[[#This Row],[Quantity]]), Lab2_Dataset[[#This Row],[Quantity]]&lt;&gt;0), Lab2_Dataset[[#This Row],[Revenue]]/Lab2_Dataset[[#This Row],[Quantity]], "")</f>
        <v>42.199999999999996</v>
      </c>
      <c r="O941" s="2" t="b">
        <v>0</v>
      </c>
      <c r="P941" s="2">
        <f t="shared" si="29"/>
        <v>898</v>
      </c>
    </row>
    <row r="942" spans="1:16" x14ac:dyDescent="0.35">
      <c r="A942" s="2" t="s">
        <v>1899</v>
      </c>
      <c r="B942" s="2" t="s">
        <v>1900</v>
      </c>
      <c r="C942" s="3">
        <v>45602</v>
      </c>
      <c r="D942" s="2" t="s">
        <v>37</v>
      </c>
      <c r="E942" s="2" t="s">
        <v>24</v>
      </c>
      <c r="F942" s="2">
        <v>8</v>
      </c>
      <c r="G942" s="2">
        <v>112.25</v>
      </c>
      <c r="H942" s="2">
        <v>898</v>
      </c>
      <c r="I942" s="2" t="s">
        <v>13</v>
      </c>
      <c r="J942" s="2" t="str">
        <f t="shared" si="28"/>
        <v>Nov</v>
      </c>
      <c r="K942" s="4">
        <f>IF(AND(ISNUMBER(Lab2_Dataset[[#This Row],[Revenue]]), ISNUMBER(Lab2_Dataset[[#This Row],[Quantity]]), Lab2_Dataset[[#This Row],[Quantity]]&lt;&gt;0), Lab2_Dataset[[#This Row],[Revenue]]/Lab2_Dataset[[#This Row],[Quantity]], "")</f>
        <v>112.25</v>
      </c>
      <c r="O942" s="2" t="b">
        <v>0</v>
      </c>
      <c r="P942" s="2">
        <f t="shared" si="29"/>
        <v>384.66</v>
      </c>
    </row>
    <row r="943" spans="1:16" x14ac:dyDescent="0.35">
      <c r="A943" s="2" t="s">
        <v>1901</v>
      </c>
      <c r="B943" s="2" t="s">
        <v>1902</v>
      </c>
      <c r="C943" s="3">
        <v>45712</v>
      </c>
      <c r="D943" s="2" t="s">
        <v>34</v>
      </c>
      <c r="E943" s="2" t="s">
        <v>28</v>
      </c>
      <c r="F943" s="2">
        <v>9</v>
      </c>
      <c r="G943" s="2">
        <v>42.74</v>
      </c>
      <c r="H943" s="2">
        <v>384.66</v>
      </c>
      <c r="I943" s="2" t="s">
        <v>52</v>
      </c>
      <c r="J943" s="2" t="str">
        <f t="shared" si="28"/>
        <v>Feb</v>
      </c>
      <c r="K943" s="4">
        <f>IF(AND(ISNUMBER(Lab2_Dataset[[#This Row],[Revenue]]), ISNUMBER(Lab2_Dataset[[#This Row],[Quantity]]), Lab2_Dataset[[#This Row],[Quantity]]&lt;&gt;0), Lab2_Dataset[[#This Row],[Revenue]]/Lab2_Dataset[[#This Row],[Quantity]], "")</f>
        <v>42.74</v>
      </c>
      <c r="O943" s="2" t="b">
        <v>0</v>
      </c>
      <c r="P943" s="2">
        <f t="shared" si="29"/>
        <v>645.61</v>
      </c>
    </row>
    <row r="944" spans="1:16" x14ac:dyDescent="0.35">
      <c r="A944" s="2" t="s">
        <v>1903</v>
      </c>
      <c r="B944" s="2" t="s">
        <v>1904</v>
      </c>
      <c r="C944" s="3">
        <v>45733</v>
      </c>
      <c r="D944" s="2" t="s">
        <v>27</v>
      </c>
      <c r="E944" s="2" t="s">
        <v>12</v>
      </c>
      <c r="F944" s="2">
        <v>7</v>
      </c>
      <c r="G944" s="2">
        <v>92.23</v>
      </c>
      <c r="H944" s="2">
        <v>645.61</v>
      </c>
      <c r="I944" s="2" t="s">
        <v>38</v>
      </c>
      <c r="J944" s="2" t="str">
        <f t="shared" si="28"/>
        <v>Mar</v>
      </c>
      <c r="K944" s="4">
        <f>IF(AND(ISNUMBER(Lab2_Dataset[[#This Row],[Revenue]]), ISNUMBER(Lab2_Dataset[[#This Row],[Quantity]]), Lab2_Dataset[[#This Row],[Quantity]]&lt;&gt;0), Lab2_Dataset[[#This Row],[Revenue]]/Lab2_Dataset[[#This Row],[Quantity]], "")</f>
        <v>92.23</v>
      </c>
      <c r="O944" s="2" t="b">
        <v>0</v>
      </c>
      <c r="P944" s="2">
        <f t="shared" si="29"/>
        <v>228.56</v>
      </c>
    </row>
    <row r="945" spans="1:16" x14ac:dyDescent="0.35">
      <c r="A945" s="2" t="s">
        <v>1905</v>
      </c>
      <c r="B945" s="2" t="s">
        <v>1906</v>
      </c>
      <c r="C945" s="3">
        <v>45559</v>
      </c>
      <c r="D945" s="2" t="s">
        <v>69</v>
      </c>
      <c r="E945" s="2" t="s">
        <v>47</v>
      </c>
      <c r="F945" s="2">
        <v>4</v>
      </c>
      <c r="G945" s="2">
        <v>57.14</v>
      </c>
      <c r="H945" s="2">
        <v>228.56</v>
      </c>
      <c r="I945" s="2" t="s">
        <v>31</v>
      </c>
      <c r="J945" s="2" t="str">
        <f t="shared" si="28"/>
        <v>Sep</v>
      </c>
      <c r="K945" s="4">
        <f>IF(AND(ISNUMBER(Lab2_Dataset[[#This Row],[Revenue]]), ISNUMBER(Lab2_Dataset[[#This Row],[Quantity]]), Lab2_Dataset[[#This Row],[Quantity]]&lt;&gt;0), Lab2_Dataset[[#This Row],[Revenue]]/Lab2_Dataset[[#This Row],[Quantity]], "")</f>
        <v>57.14</v>
      </c>
      <c r="O945" s="2" t="b">
        <v>0</v>
      </c>
      <c r="P945" s="2">
        <f t="shared" si="29"/>
        <v>231.89999999999998</v>
      </c>
    </row>
    <row r="946" spans="1:16" x14ac:dyDescent="0.35">
      <c r="A946" s="2" t="s">
        <v>1907</v>
      </c>
      <c r="B946" s="2" t="s">
        <v>1908</v>
      </c>
      <c r="C946" s="3">
        <v>45057</v>
      </c>
      <c r="D946" s="2" t="s">
        <v>27</v>
      </c>
      <c r="E946" s="2" t="s">
        <v>16</v>
      </c>
      <c r="F946" s="2">
        <v>6</v>
      </c>
      <c r="G946" s="2">
        <v>38.65</v>
      </c>
      <c r="H946" s="2">
        <v>231.9</v>
      </c>
      <c r="I946" s="2" t="s">
        <v>52</v>
      </c>
      <c r="J946" s="2" t="str">
        <f t="shared" si="28"/>
        <v>May</v>
      </c>
      <c r="K946" s="4">
        <f>IF(AND(ISNUMBER(Lab2_Dataset[[#This Row],[Revenue]]), ISNUMBER(Lab2_Dataset[[#This Row],[Quantity]]), Lab2_Dataset[[#This Row],[Quantity]]&lt;&gt;0), Lab2_Dataset[[#This Row],[Revenue]]/Lab2_Dataset[[#This Row],[Quantity]], "")</f>
        <v>38.65</v>
      </c>
      <c r="O946" s="2" t="b">
        <v>0</v>
      </c>
      <c r="P946" s="2">
        <f t="shared" si="29"/>
        <v>877.84999999999991</v>
      </c>
    </row>
    <row r="947" spans="1:16" x14ac:dyDescent="0.35">
      <c r="A947" s="2" t="s">
        <v>1909</v>
      </c>
      <c r="B947" s="2" t="s">
        <v>1910</v>
      </c>
      <c r="C947" s="3">
        <v>45405</v>
      </c>
      <c r="D947" s="2" t="s">
        <v>27</v>
      </c>
      <c r="E947" s="2" t="s">
        <v>16</v>
      </c>
      <c r="F947" s="2">
        <v>5</v>
      </c>
      <c r="G947" s="2">
        <v>175.57</v>
      </c>
      <c r="H947" s="2">
        <v>877.85</v>
      </c>
      <c r="I947" s="2" t="s">
        <v>38</v>
      </c>
      <c r="J947" s="2" t="str">
        <f t="shared" si="28"/>
        <v>Apr</v>
      </c>
      <c r="K947" s="4">
        <f>IF(AND(ISNUMBER(Lab2_Dataset[[#This Row],[Revenue]]), ISNUMBER(Lab2_Dataset[[#This Row],[Quantity]]), Lab2_Dataset[[#This Row],[Quantity]]&lt;&gt;0), Lab2_Dataset[[#This Row],[Revenue]]/Lab2_Dataset[[#This Row],[Quantity]], "")</f>
        <v>175.57</v>
      </c>
      <c r="O947" s="2" t="b">
        <v>0</v>
      </c>
      <c r="P947" s="2">
        <f t="shared" si="29"/>
        <v>472.08</v>
      </c>
    </row>
    <row r="948" spans="1:16" x14ac:dyDescent="0.35">
      <c r="A948" s="2" t="s">
        <v>1911</v>
      </c>
      <c r="B948" s="2" t="s">
        <v>1912</v>
      </c>
      <c r="C948" s="3">
        <v>45242</v>
      </c>
      <c r="D948" s="2" t="s">
        <v>34</v>
      </c>
      <c r="E948" s="2" t="s">
        <v>16</v>
      </c>
      <c r="F948" s="2">
        <v>8</v>
      </c>
      <c r="G948" s="2">
        <v>59.01</v>
      </c>
      <c r="H948" s="2">
        <v>472.08</v>
      </c>
      <c r="I948" s="2" t="s">
        <v>21</v>
      </c>
      <c r="J948" s="2" t="str">
        <f t="shared" si="28"/>
        <v>Nov</v>
      </c>
      <c r="K948" s="4">
        <f>IF(AND(ISNUMBER(Lab2_Dataset[[#This Row],[Revenue]]), ISNUMBER(Lab2_Dataset[[#This Row],[Quantity]]), Lab2_Dataset[[#This Row],[Quantity]]&lt;&gt;0), Lab2_Dataset[[#This Row],[Revenue]]/Lab2_Dataset[[#This Row],[Quantity]], "")</f>
        <v>59.01</v>
      </c>
      <c r="O948" s="2" t="b">
        <v>0</v>
      </c>
      <c r="P948" s="2">
        <f t="shared" si="29"/>
        <v>154.11000000000001</v>
      </c>
    </row>
    <row r="949" spans="1:16" x14ac:dyDescent="0.35">
      <c r="A949" s="2" t="s">
        <v>1913</v>
      </c>
      <c r="B949" s="2" t="s">
        <v>1914</v>
      </c>
      <c r="C949" s="3">
        <v>45109</v>
      </c>
      <c r="D949" s="2" t="s">
        <v>34</v>
      </c>
      <c r="E949" s="2" t="s">
        <v>12</v>
      </c>
      <c r="F949" s="2">
        <v>1</v>
      </c>
      <c r="G949" s="2">
        <v>154.11000000000001</v>
      </c>
      <c r="H949" s="2">
        <v>154.11000000000001</v>
      </c>
      <c r="I949" s="2" t="s">
        <v>21</v>
      </c>
      <c r="J949" s="2" t="str">
        <f t="shared" si="28"/>
        <v>Jul</v>
      </c>
      <c r="K949" s="4">
        <f>IF(AND(ISNUMBER(Lab2_Dataset[[#This Row],[Revenue]]), ISNUMBER(Lab2_Dataset[[#This Row],[Quantity]]), Lab2_Dataset[[#This Row],[Quantity]]&lt;&gt;0), Lab2_Dataset[[#This Row],[Revenue]]/Lab2_Dataset[[#This Row],[Quantity]], "")</f>
        <v>154.11000000000001</v>
      </c>
      <c r="O949" s="2" t="b">
        <v>0</v>
      </c>
      <c r="P949" s="2">
        <f t="shared" si="29"/>
        <v>163.15</v>
      </c>
    </row>
    <row r="950" spans="1:16" x14ac:dyDescent="0.35">
      <c r="A950" s="2" t="s">
        <v>1915</v>
      </c>
      <c r="B950" s="2" t="s">
        <v>1916</v>
      </c>
      <c r="C950" s="3">
        <v>45657</v>
      </c>
      <c r="D950" s="2" t="s">
        <v>20</v>
      </c>
      <c r="E950" s="2" t="s">
        <v>28</v>
      </c>
      <c r="F950" s="2">
        <v>1</v>
      </c>
      <c r="G950" s="2">
        <v>163.15</v>
      </c>
      <c r="H950" s="2">
        <v>163.15</v>
      </c>
      <c r="I950" s="2" t="s">
        <v>17</v>
      </c>
      <c r="J950" s="2" t="str">
        <f t="shared" si="28"/>
        <v>Dec</v>
      </c>
      <c r="K950" s="4">
        <f>IF(AND(ISNUMBER(Lab2_Dataset[[#This Row],[Revenue]]), ISNUMBER(Lab2_Dataset[[#This Row],[Quantity]]), Lab2_Dataset[[#This Row],[Quantity]]&lt;&gt;0), Lab2_Dataset[[#This Row],[Revenue]]/Lab2_Dataset[[#This Row],[Quantity]], "")</f>
        <v>163.15</v>
      </c>
      <c r="O950" s="2" t="b">
        <v>0</v>
      </c>
      <c r="P950" s="2" t="str">
        <f t="shared" si="29"/>
        <v/>
      </c>
    </row>
    <row r="951" spans="1:16" x14ac:dyDescent="0.35">
      <c r="A951" s="2" t="s">
        <v>1917</v>
      </c>
      <c r="B951" s="2" t="s">
        <v>1918</v>
      </c>
      <c r="C951" s="3">
        <v>45701</v>
      </c>
      <c r="D951" s="2" t="s">
        <v>11</v>
      </c>
      <c r="E951" s="2" t="s">
        <v>47</v>
      </c>
      <c r="G951" s="2">
        <v>184.02</v>
      </c>
      <c r="I951" s="2" t="s">
        <v>21</v>
      </c>
      <c r="J951" s="2" t="str">
        <f t="shared" si="28"/>
        <v>Feb</v>
      </c>
      <c r="K95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1" s="2" t="b">
        <v>1</v>
      </c>
      <c r="P951" s="2" t="str">
        <f t="shared" si="29"/>
        <v/>
      </c>
    </row>
    <row r="952" spans="1:16" x14ac:dyDescent="0.35">
      <c r="A952" s="2" t="s">
        <v>1919</v>
      </c>
      <c r="B952" s="2" t="s">
        <v>1920</v>
      </c>
      <c r="C952" s="3">
        <v>45075</v>
      </c>
      <c r="D952" s="2" t="s">
        <v>37</v>
      </c>
      <c r="E952" s="2" t="s">
        <v>24</v>
      </c>
      <c r="G952" s="2">
        <v>179.97</v>
      </c>
      <c r="I952" s="2" t="s">
        <v>31</v>
      </c>
      <c r="J952" s="2" t="str">
        <f t="shared" si="28"/>
        <v>May</v>
      </c>
      <c r="K95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2" s="2" t="b">
        <v>1</v>
      </c>
      <c r="P952" s="2" t="str">
        <f t="shared" si="29"/>
        <v/>
      </c>
    </row>
    <row r="953" spans="1:16" x14ac:dyDescent="0.35">
      <c r="A953" s="2" t="s">
        <v>1921</v>
      </c>
      <c r="B953" s="2" t="s">
        <v>1922</v>
      </c>
      <c r="C953" s="3">
        <v>45269</v>
      </c>
      <c r="D953" s="2" t="s">
        <v>34</v>
      </c>
      <c r="E953" s="2" t="s">
        <v>28</v>
      </c>
      <c r="G953" s="2">
        <v>55.92</v>
      </c>
      <c r="I953" s="2" t="s">
        <v>31</v>
      </c>
      <c r="J953" s="2" t="str">
        <f t="shared" si="28"/>
        <v>Dec</v>
      </c>
      <c r="K95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3" s="2" t="b">
        <v>1</v>
      </c>
      <c r="P953" s="2" t="str">
        <f t="shared" si="29"/>
        <v/>
      </c>
    </row>
    <row r="954" spans="1:16" x14ac:dyDescent="0.35">
      <c r="A954" s="2" t="s">
        <v>1923</v>
      </c>
      <c r="B954" s="2" t="s">
        <v>1924</v>
      </c>
      <c r="C954" s="3">
        <v>45540</v>
      </c>
      <c r="D954" s="2" t="s">
        <v>20</v>
      </c>
      <c r="E954" s="2" t="s">
        <v>28</v>
      </c>
      <c r="G954" s="2">
        <v>187.18</v>
      </c>
      <c r="I954" s="2" t="s">
        <v>38</v>
      </c>
      <c r="J954" s="2" t="str">
        <f t="shared" si="28"/>
        <v>Sep</v>
      </c>
      <c r="K954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4" s="2" t="b">
        <v>1</v>
      </c>
      <c r="P954" s="2">
        <f t="shared" si="29"/>
        <v>366.09999999999997</v>
      </c>
    </row>
    <row r="955" spans="1:16" x14ac:dyDescent="0.35">
      <c r="A955" s="2" t="s">
        <v>1925</v>
      </c>
      <c r="B955" s="2" t="s">
        <v>1926</v>
      </c>
      <c r="C955" s="3">
        <v>45704</v>
      </c>
      <c r="D955" s="2" t="s">
        <v>11</v>
      </c>
      <c r="E955" s="2" t="s">
        <v>28</v>
      </c>
      <c r="F955" s="2">
        <v>7</v>
      </c>
      <c r="G955" s="2">
        <v>52.3</v>
      </c>
      <c r="H955" s="2">
        <v>366.1</v>
      </c>
      <c r="I955" s="2" t="s">
        <v>31</v>
      </c>
      <c r="J955" s="2" t="str">
        <f t="shared" si="28"/>
        <v>Feb</v>
      </c>
      <c r="K955" s="4">
        <f>IF(AND(ISNUMBER(Lab2_Dataset[[#This Row],[Revenue]]), ISNUMBER(Lab2_Dataset[[#This Row],[Quantity]]), Lab2_Dataset[[#This Row],[Quantity]]&lt;&gt;0), Lab2_Dataset[[#This Row],[Revenue]]/Lab2_Dataset[[#This Row],[Quantity]], "")</f>
        <v>52.300000000000004</v>
      </c>
      <c r="O955" s="2" t="b">
        <v>0</v>
      </c>
      <c r="P955" s="2">
        <f t="shared" si="29"/>
        <v>79.150000000000006</v>
      </c>
    </row>
    <row r="956" spans="1:16" x14ac:dyDescent="0.35">
      <c r="A956" s="2" t="s">
        <v>1927</v>
      </c>
      <c r="B956" s="2" t="s">
        <v>1928</v>
      </c>
      <c r="C956" s="3">
        <v>45116</v>
      </c>
      <c r="D956" s="2" t="s">
        <v>11</v>
      </c>
      <c r="E956" s="2" t="s">
        <v>16</v>
      </c>
      <c r="F956" s="2">
        <v>1</v>
      </c>
      <c r="G956" s="2">
        <v>79.150000000000006</v>
      </c>
      <c r="H956" s="2">
        <v>79.150000000000006</v>
      </c>
      <c r="I956" s="2" t="s">
        <v>17</v>
      </c>
      <c r="J956" s="2" t="str">
        <f t="shared" si="28"/>
        <v>Jul</v>
      </c>
      <c r="K956" s="4">
        <f>IF(AND(ISNUMBER(Lab2_Dataset[[#This Row],[Revenue]]), ISNUMBER(Lab2_Dataset[[#This Row],[Quantity]]), Lab2_Dataset[[#This Row],[Quantity]]&lt;&gt;0), Lab2_Dataset[[#This Row],[Revenue]]/Lab2_Dataset[[#This Row],[Quantity]], "")</f>
        <v>79.150000000000006</v>
      </c>
      <c r="O956" s="2" t="b">
        <v>0</v>
      </c>
      <c r="P956" s="2">
        <f t="shared" si="29"/>
        <v>502.52</v>
      </c>
    </row>
    <row r="957" spans="1:16" x14ac:dyDescent="0.35">
      <c r="A957" s="2" t="s">
        <v>1929</v>
      </c>
      <c r="B957" s="2" t="s">
        <v>1930</v>
      </c>
      <c r="C957" s="3">
        <v>45086</v>
      </c>
      <c r="D957" s="2" t="s">
        <v>34</v>
      </c>
      <c r="E957" s="2" t="s">
        <v>24</v>
      </c>
      <c r="F957" s="2">
        <v>4</v>
      </c>
      <c r="G957" s="2">
        <v>125.63</v>
      </c>
      <c r="H957" s="2">
        <v>502.52</v>
      </c>
      <c r="I957" s="2" t="s">
        <v>17</v>
      </c>
      <c r="J957" s="2" t="str">
        <f t="shared" si="28"/>
        <v>Jun</v>
      </c>
      <c r="K957" s="4">
        <f>IF(AND(ISNUMBER(Lab2_Dataset[[#This Row],[Revenue]]), ISNUMBER(Lab2_Dataset[[#This Row],[Quantity]]), Lab2_Dataset[[#This Row],[Quantity]]&lt;&gt;0), Lab2_Dataset[[#This Row],[Revenue]]/Lab2_Dataset[[#This Row],[Quantity]], "")</f>
        <v>125.63</v>
      </c>
      <c r="O957" s="2" t="b">
        <v>0</v>
      </c>
      <c r="P957" s="2">
        <f t="shared" si="29"/>
        <v>217.71</v>
      </c>
    </row>
    <row r="958" spans="1:16" x14ac:dyDescent="0.35">
      <c r="A958" s="2" t="s">
        <v>1931</v>
      </c>
      <c r="B958" s="2" t="s">
        <v>1932</v>
      </c>
      <c r="C958" s="3">
        <v>45412</v>
      </c>
      <c r="D958" s="2" t="s">
        <v>20</v>
      </c>
      <c r="E958" s="2" t="s">
        <v>28</v>
      </c>
      <c r="F958" s="2">
        <v>9</v>
      </c>
      <c r="G958" s="2">
        <v>24.19</v>
      </c>
      <c r="H958" s="2">
        <v>217.71</v>
      </c>
      <c r="I958" s="2" t="s">
        <v>13</v>
      </c>
      <c r="J958" s="2" t="str">
        <f t="shared" si="28"/>
        <v>Apr</v>
      </c>
      <c r="K958" s="4">
        <f>IF(AND(ISNUMBER(Lab2_Dataset[[#This Row],[Revenue]]), ISNUMBER(Lab2_Dataset[[#This Row],[Quantity]]), Lab2_Dataset[[#This Row],[Quantity]]&lt;&gt;0), Lab2_Dataset[[#This Row],[Revenue]]/Lab2_Dataset[[#This Row],[Quantity]], "")</f>
        <v>24.19</v>
      </c>
      <c r="O958" s="2" t="b">
        <v>0</v>
      </c>
      <c r="P958" s="2" t="str">
        <f t="shared" si="29"/>
        <v/>
      </c>
    </row>
    <row r="959" spans="1:16" x14ac:dyDescent="0.35">
      <c r="A959" s="2" t="s">
        <v>1933</v>
      </c>
      <c r="B959" s="2" t="s">
        <v>1934</v>
      </c>
      <c r="C959" s="3">
        <v>45520</v>
      </c>
      <c r="D959" s="2" t="s">
        <v>20</v>
      </c>
      <c r="E959" s="2" t="s">
        <v>28</v>
      </c>
      <c r="G959" s="2">
        <v>118.72</v>
      </c>
      <c r="I959" s="2" t="s">
        <v>38</v>
      </c>
      <c r="J959" s="2" t="str">
        <f t="shared" si="28"/>
        <v>Aug</v>
      </c>
      <c r="K95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59" s="2" t="b">
        <v>1</v>
      </c>
      <c r="P959" s="2" t="str">
        <f t="shared" si="29"/>
        <v/>
      </c>
    </row>
    <row r="960" spans="1:16" x14ac:dyDescent="0.35">
      <c r="A960" s="2" t="s">
        <v>1935</v>
      </c>
      <c r="B960" s="2" t="s">
        <v>1936</v>
      </c>
      <c r="C960" s="3">
        <v>45519</v>
      </c>
      <c r="D960" s="2" t="s">
        <v>34</v>
      </c>
      <c r="E960" s="2" t="s">
        <v>28</v>
      </c>
      <c r="G960" s="2">
        <v>77.150000000000006</v>
      </c>
      <c r="I960" s="2" t="s">
        <v>38</v>
      </c>
      <c r="J960" s="2" t="str">
        <f t="shared" si="28"/>
        <v>Aug</v>
      </c>
      <c r="K96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0" s="2" t="b">
        <v>1</v>
      </c>
      <c r="P960" s="2" t="str">
        <f t="shared" si="29"/>
        <v/>
      </c>
    </row>
    <row r="961" spans="1:16" x14ac:dyDescent="0.35">
      <c r="A961" s="2" t="s">
        <v>1937</v>
      </c>
      <c r="B961" s="2" t="s">
        <v>1938</v>
      </c>
      <c r="C961" s="3">
        <v>45243</v>
      </c>
      <c r="D961" s="2" t="s">
        <v>37</v>
      </c>
      <c r="E961" s="2" t="s">
        <v>24</v>
      </c>
      <c r="G961" s="2">
        <v>182.75</v>
      </c>
      <c r="I961" s="2" t="s">
        <v>38</v>
      </c>
      <c r="J961" s="2" t="str">
        <f t="shared" si="28"/>
        <v>Nov</v>
      </c>
      <c r="K96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1" s="2" t="b">
        <v>1</v>
      </c>
      <c r="P961" s="2">
        <f t="shared" si="29"/>
        <v>459.72</v>
      </c>
    </row>
    <row r="962" spans="1:16" x14ac:dyDescent="0.35">
      <c r="A962" s="2" t="s">
        <v>1939</v>
      </c>
      <c r="B962" s="2" t="s">
        <v>1940</v>
      </c>
      <c r="C962" s="3">
        <v>45636</v>
      </c>
      <c r="D962" s="2" t="s">
        <v>69</v>
      </c>
      <c r="E962" s="2" t="s">
        <v>12</v>
      </c>
      <c r="F962" s="2">
        <v>6</v>
      </c>
      <c r="G962" s="2">
        <v>76.62</v>
      </c>
      <c r="H962" s="2">
        <v>459.72</v>
      </c>
      <c r="I962" s="2" t="s">
        <v>21</v>
      </c>
      <c r="J962" s="2" t="str">
        <f t="shared" ref="J962:J1001" si="30">TEXT(C962,"mmm")</f>
        <v>Dec</v>
      </c>
      <c r="K962" s="4">
        <f>IF(AND(ISNUMBER(Lab2_Dataset[[#This Row],[Revenue]]), ISNUMBER(Lab2_Dataset[[#This Row],[Quantity]]), Lab2_Dataset[[#This Row],[Quantity]]&lt;&gt;0), Lab2_Dataset[[#This Row],[Revenue]]/Lab2_Dataset[[#This Row],[Quantity]], "")</f>
        <v>76.62</v>
      </c>
      <c r="O962" s="2" t="b">
        <v>0</v>
      </c>
      <c r="P962" s="2" t="str">
        <f t="shared" si="29"/>
        <v/>
      </c>
    </row>
    <row r="963" spans="1:16" x14ac:dyDescent="0.35">
      <c r="A963" s="2" t="s">
        <v>1941</v>
      </c>
      <c r="B963" s="2" t="s">
        <v>1942</v>
      </c>
      <c r="C963" s="3">
        <v>45655</v>
      </c>
      <c r="D963" s="2" t="s">
        <v>34</v>
      </c>
      <c r="E963" s="2" t="s">
        <v>16</v>
      </c>
      <c r="G963" s="2">
        <v>63.27</v>
      </c>
      <c r="I963" s="2" t="s">
        <v>13</v>
      </c>
      <c r="J963" s="2" t="str">
        <f t="shared" si="30"/>
        <v>Dec</v>
      </c>
      <c r="K96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3" s="2" t="b">
        <v>1</v>
      </c>
      <c r="P963" s="2">
        <f t="shared" ref="P963:P1001" si="31">IF(O964=TRUE,"",F964*G964)</f>
        <v>58.6</v>
      </c>
    </row>
    <row r="964" spans="1:16" x14ac:dyDescent="0.35">
      <c r="A964" s="2" t="s">
        <v>1943</v>
      </c>
      <c r="B964" s="2" t="s">
        <v>1944</v>
      </c>
      <c r="C964" s="3">
        <v>45617</v>
      </c>
      <c r="D964" s="2" t="s">
        <v>69</v>
      </c>
      <c r="E964" s="2" t="s">
        <v>47</v>
      </c>
      <c r="F964" s="2">
        <v>1</v>
      </c>
      <c r="G964" s="2">
        <v>58.6</v>
      </c>
      <c r="H964" s="2">
        <v>58.6</v>
      </c>
      <c r="I964" s="2" t="s">
        <v>21</v>
      </c>
      <c r="J964" s="2" t="str">
        <f t="shared" si="30"/>
        <v>Nov</v>
      </c>
      <c r="K964" s="4">
        <f>IF(AND(ISNUMBER(Lab2_Dataset[[#This Row],[Revenue]]), ISNUMBER(Lab2_Dataset[[#This Row],[Quantity]]), Lab2_Dataset[[#This Row],[Quantity]]&lt;&gt;0), Lab2_Dataset[[#This Row],[Revenue]]/Lab2_Dataset[[#This Row],[Quantity]], "")</f>
        <v>58.6</v>
      </c>
      <c r="O964" s="2" t="b">
        <v>0</v>
      </c>
      <c r="P964" s="2">
        <f t="shared" si="31"/>
        <v>353.57</v>
      </c>
    </row>
    <row r="965" spans="1:16" x14ac:dyDescent="0.35">
      <c r="A965" s="2" t="s">
        <v>1945</v>
      </c>
      <c r="B965" s="2" t="s">
        <v>1946</v>
      </c>
      <c r="C965" s="3">
        <v>45055</v>
      </c>
      <c r="D965" s="2" t="s">
        <v>37</v>
      </c>
      <c r="E965" s="2" t="s">
        <v>16</v>
      </c>
      <c r="F965" s="2">
        <v>7</v>
      </c>
      <c r="G965" s="2">
        <v>50.51</v>
      </c>
      <c r="H965" s="2">
        <v>353.57</v>
      </c>
      <c r="I965" s="2" t="s">
        <v>13</v>
      </c>
      <c r="J965" s="2" t="str">
        <f t="shared" si="30"/>
        <v>May</v>
      </c>
      <c r="K965" s="4">
        <f>IF(AND(ISNUMBER(Lab2_Dataset[[#This Row],[Revenue]]), ISNUMBER(Lab2_Dataset[[#This Row],[Quantity]]), Lab2_Dataset[[#This Row],[Quantity]]&lt;&gt;0), Lab2_Dataset[[#This Row],[Revenue]]/Lab2_Dataset[[#This Row],[Quantity]], "")</f>
        <v>50.51</v>
      </c>
      <c r="O965" s="2" t="b">
        <v>0</v>
      </c>
      <c r="P965" s="2" t="str">
        <f t="shared" si="31"/>
        <v/>
      </c>
    </row>
    <row r="966" spans="1:16" x14ac:dyDescent="0.35">
      <c r="A966" s="2" t="s">
        <v>1947</v>
      </c>
      <c r="B966" s="2" t="s">
        <v>1948</v>
      </c>
      <c r="C966" s="3">
        <v>45424</v>
      </c>
      <c r="D966" s="2" t="s">
        <v>34</v>
      </c>
      <c r="E966" s="2" t="s">
        <v>28</v>
      </c>
      <c r="G966" s="2">
        <v>63.12</v>
      </c>
      <c r="I966" s="2" t="s">
        <v>31</v>
      </c>
      <c r="J966" s="2" t="str">
        <f t="shared" si="30"/>
        <v>May</v>
      </c>
      <c r="K96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6" s="2" t="b">
        <v>1</v>
      </c>
      <c r="P966" s="2" t="str">
        <f t="shared" si="31"/>
        <v/>
      </c>
    </row>
    <row r="967" spans="1:16" x14ac:dyDescent="0.35">
      <c r="A967" s="2" t="s">
        <v>1949</v>
      </c>
      <c r="B967" s="2" t="s">
        <v>1950</v>
      </c>
      <c r="C967" s="3">
        <v>45346</v>
      </c>
      <c r="D967" s="2" t="s">
        <v>69</v>
      </c>
      <c r="E967" s="2" t="s">
        <v>24</v>
      </c>
      <c r="G967" s="2">
        <v>166.38</v>
      </c>
      <c r="I967" s="2" t="s">
        <v>13</v>
      </c>
      <c r="J967" s="2" t="str">
        <f t="shared" si="30"/>
        <v>Feb</v>
      </c>
      <c r="K967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7" s="2" t="b">
        <v>1</v>
      </c>
      <c r="P967" s="2">
        <f t="shared" si="31"/>
        <v>489.09000000000003</v>
      </c>
    </row>
    <row r="968" spans="1:16" x14ac:dyDescent="0.35">
      <c r="A968" s="2" t="s">
        <v>1951</v>
      </c>
      <c r="B968" s="2" t="s">
        <v>1952</v>
      </c>
      <c r="C968" s="3">
        <v>45758</v>
      </c>
      <c r="D968" s="2" t="s">
        <v>20</v>
      </c>
      <c r="E968" s="2" t="s">
        <v>47</v>
      </c>
      <c r="F968" s="2">
        <v>3</v>
      </c>
      <c r="G968" s="2">
        <v>163.03</v>
      </c>
      <c r="H968" s="2">
        <v>489.09</v>
      </c>
      <c r="I968" s="2" t="s">
        <v>13</v>
      </c>
      <c r="J968" s="2" t="str">
        <f t="shared" si="30"/>
        <v>Apr</v>
      </c>
      <c r="K968" s="4">
        <f>IF(AND(ISNUMBER(Lab2_Dataset[[#This Row],[Revenue]]), ISNUMBER(Lab2_Dataset[[#This Row],[Quantity]]), Lab2_Dataset[[#This Row],[Quantity]]&lt;&gt;0), Lab2_Dataset[[#This Row],[Revenue]]/Lab2_Dataset[[#This Row],[Quantity]], "")</f>
        <v>163.03</v>
      </c>
      <c r="O968" s="2" t="b">
        <v>0</v>
      </c>
      <c r="P968" s="2" t="str">
        <f t="shared" si="31"/>
        <v/>
      </c>
    </row>
    <row r="969" spans="1:16" x14ac:dyDescent="0.35">
      <c r="A969" s="2" t="s">
        <v>1953</v>
      </c>
      <c r="B969" s="2" t="s">
        <v>1954</v>
      </c>
      <c r="C969" s="3">
        <v>45318</v>
      </c>
      <c r="D969" s="2" t="s">
        <v>34</v>
      </c>
      <c r="E969" s="2" t="s">
        <v>16</v>
      </c>
      <c r="G969" s="2">
        <v>126.37</v>
      </c>
      <c r="I969" s="2" t="s">
        <v>52</v>
      </c>
      <c r="J969" s="2" t="str">
        <f t="shared" si="30"/>
        <v>Jan</v>
      </c>
      <c r="K96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69" s="2" t="b">
        <v>1</v>
      </c>
      <c r="P969" s="2">
        <f t="shared" si="31"/>
        <v>128.43</v>
      </c>
    </row>
    <row r="970" spans="1:16" x14ac:dyDescent="0.35">
      <c r="A970" s="2" t="s">
        <v>1955</v>
      </c>
      <c r="B970" s="2" t="s">
        <v>1956</v>
      </c>
      <c r="C970" s="3">
        <v>45339</v>
      </c>
      <c r="D970" s="2" t="s">
        <v>69</v>
      </c>
      <c r="E970" s="2" t="s">
        <v>24</v>
      </c>
      <c r="F970" s="2">
        <v>3</v>
      </c>
      <c r="G970" s="2">
        <v>42.81</v>
      </c>
      <c r="H970" s="2">
        <v>128.43</v>
      </c>
      <c r="I970" s="2" t="s">
        <v>52</v>
      </c>
      <c r="J970" s="2" t="str">
        <f t="shared" si="30"/>
        <v>Feb</v>
      </c>
      <c r="K970" s="4">
        <f>IF(AND(ISNUMBER(Lab2_Dataset[[#This Row],[Revenue]]), ISNUMBER(Lab2_Dataset[[#This Row],[Quantity]]), Lab2_Dataset[[#This Row],[Quantity]]&lt;&gt;0), Lab2_Dataset[[#This Row],[Revenue]]/Lab2_Dataset[[#This Row],[Quantity]], "")</f>
        <v>42.81</v>
      </c>
      <c r="O970" s="2" t="b">
        <v>0</v>
      </c>
      <c r="P970" s="2">
        <f t="shared" si="31"/>
        <v>55.96</v>
      </c>
    </row>
    <row r="971" spans="1:16" x14ac:dyDescent="0.35">
      <c r="A971" s="2" t="s">
        <v>1957</v>
      </c>
      <c r="B971" s="2" t="s">
        <v>1958</v>
      </c>
      <c r="C971" s="3">
        <v>45135</v>
      </c>
      <c r="D971" s="2" t="s">
        <v>34</v>
      </c>
      <c r="E971" s="2" t="s">
        <v>12</v>
      </c>
      <c r="F971" s="2">
        <v>1</v>
      </c>
      <c r="G971" s="2">
        <v>55.96</v>
      </c>
      <c r="H971" s="2">
        <v>55.96</v>
      </c>
      <c r="I971" s="2" t="s">
        <v>21</v>
      </c>
      <c r="J971" s="2" t="str">
        <f t="shared" si="30"/>
        <v>Jul</v>
      </c>
      <c r="K971" s="4">
        <f>IF(AND(ISNUMBER(Lab2_Dataset[[#This Row],[Revenue]]), ISNUMBER(Lab2_Dataset[[#This Row],[Quantity]]), Lab2_Dataset[[#This Row],[Quantity]]&lt;&gt;0), Lab2_Dataset[[#This Row],[Revenue]]/Lab2_Dataset[[#This Row],[Quantity]], "")</f>
        <v>55.96</v>
      </c>
      <c r="O971" s="2" t="b">
        <v>0</v>
      </c>
      <c r="P971" s="2" t="str">
        <f t="shared" si="31"/>
        <v/>
      </c>
    </row>
    <row r="972" spans="1:16" x14ac:dyDescent="0.35">
      <c r="A972" s="2" t="s">
        <v>1959</v>
      </c>
      <c r="B972" s="2" t="s">
        <v>1960</v>
      </c>
      <c r="C972" s="3">
        <v>45634</v>
      </c>
      <c r="D972" s="2" t="s">
        <v>37</v>
      </c>
      <c r="E972" s="2" t="s">
        <v>24</v>
      </c>
      <c r="G972" s="2">
        <v>167.35</v>
      </c>
      <c r="I972" s="2" t="s">
        <v>31</v>
      </c>
      <c r="J972" s="2" t="str">
        <f t="shared" si="30"/>
        <v>Dec</v>
      </c>
      <c r="K97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72" s="2" t="b">
        <v>1</v>
      </c>
      <c r="P972" s="2" t="str">
        <f t="shared" si="31"/>
        <v/>
      </c>
    </row>
    <row r="973" spans="1:16" x14ac:dyDescent="0.35">
      <c r="A973" s="2" t="s">
        <v>1961</v>
      </c>
      <c r="B973" s="2" t="s">
        <v>1962</v>
      </c>
      <c r="C973" s="3">
        <v>45678</v>
      </c>
      <c r="D973" s="2" t="s">
        <v>20</v>
      </c>
      <c r="E973" s="2" t="s">
        <v>47</v>
      </c>
      <c r="G973" s="2">
        <v>32.619999999999997</v>
      </c>
      <c r="I973" s="2" t="s">
        <v>17</v>
      </c>
      <c r="J973" s="2" t="str">
        <f t="shared" si="30"/>
        <v>Jan</v>
      </c>
      <c r="K97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73" s="2" t="b">
        <v>1</v>
      </c>
      <c r="P973" s="2">
        <f t="shared" si="31"/>
        <v>86.12</v>
      </c>
    </row>
    <row r="974" spans="1:16" x14ac:dyDescent="0.35">
      <c r="A974" s="2" t="s">
        <v>1963</v>
      </c>
      <c r="B974" s="2" t="s">
        <v>1964</v>
      </c>
      <c r="C974" s="3">
        <v>45264</v>
      </c>
      <c r="D974" s="2" t="s">
        <v>34</v>
      </c>
      <c r="E974" s="2" t="s">
        <v>16</v>
      </c>
      <c r="F974" s="2">
        <v>2</v>
      </c>
      <c r="G974" s="2">
        <v>43.06</v>
      </c>
      <c r="H974" s="2">
        <v>86.12</v>
      </c>
      <c r="I974" s="2" t="s">
        <v>52</v>
      </c>
      <c r="J974" s="2" t="str">
        <f t="shared" si="30"/>
        <v>Dec</v>
      </c>
      <c r="K974" s="4">
        <f>IF(AND(ISNUMBER(Lab2_Dataset[[#This Row],[Revenue]]), ISNUMBER(Lab2_Dataset[[#This Row],[Quantity]]), Lab2_Dataset[[#This Row],[Quantity]]&lt;&gt;0), Lab2_Dataset[[#This Row],[Revenue]]/Lab2_Dataset[[#This Row],[Quantity]], "")</f>
        <v>43.06</v>
      </c>
      <c r="O974" s="2" t="b">
        <v>0</v>
      </c>
      <c r="P974" s="2">
        <f t="shared" si="31"/>
        <v>148.41</v>
      </c>
    </row>
    <row r="975" spans="1:16" x14ac:dyDescent="0.35">
      <c r="A975" s="2" t="s">
        <v>1965</v>
      </c>
      <c r="B975" s="2" t="s">
        <v>1966</v>
      </c>
      <c r="C975" s="3">
        <v>45272</v>
      </c>
      <c r="D975" s="2" t="s">
        <v>20</v>
      </c>
      <c r="E975" s="2" t="s">
        <v>12</v>
      </c>
      <c r="F975" s="2">
        <v>1</v>
      </c>
      <c r="G975" s="2">
        <v>148.41</v>
      </c>
      <c r="H975" s="2">
        <v>148.41</v>
      </c>
      <c r="I975" s="2" t="s">
        <v>17</v>
      </c>
      <c r="J975" s="2" t="str">
        <f t="shared" si="30"/>
        <v>Dec</v>
      </c>
      <c r="K975" s="4">
        <f>IF(AND(ISNUMBER(Lab2_Dataset[[#This Row],[Revenue]]), ISNUMBER(Lab2_Dataset[[#This Row],[Quantity]]), Lab2_Dataset[[#This Row],[Quantity]]&lt;&gt;0), Lab2_Dataset[[#This Row],[Revenue]]/Lab2_Dataset[[#This Row],[Quantity]], "")</f>
        <v>148.41</v>
      </c>
      <c r="O975" s="2" t="b">
        <v>0</v>
      </c>
      <c r="P975" s="2">
        <f t="shared" si="31"/>
        <v>574.34999999999991</v>
      </c>
    </row>
    <row r="976" spans="1:16" x14ac:dyDescent="0.35">
      <c r="A976" s="2" t="s">
        <v>1967</v>
      </c>
      <c r="B976" s="2" t="s">
        <v>1968</v>
      </c>
      <c r="C976" s="3">
        <v>45472</v>
      </c>
      <c r="D976" s="2" t="s">
        <v>11</v>
      </c>
      <c r="E976" s="2" t="s">
        <v>16</v>
      </c>
      <c r="F976" s="2">
        <v>3</v>
      </c>
      <c r="G976" s="2">
        <v>191.45</v>
      </c>
      <c r="H976" s="2">
        <v>574.35</v>
      </c>
      <c r="I976" s="2" t="s">
        <v>31</v>
      </c>
      <c r="J976" s="2" t="str">
        <f t="shared" si="30"/>
        <v>Jun</v>
      </c>
      <c r="K976" s="4">
        <f>IF(AND(ISNUMBER(Lab2_Dataset[[#This Row],[Revenue]]), ISNUMBER(Lab2_Dataset[[#This Row],[Quantity]]), Lab2_Dataset[[#This Row],[Quantity]]&lt;&gt;0), Lab2_Dataset[[#This Row],[Revenue]]/Lab2_Dataset[[#This Row],[Quantity]], "")</f>
        <v>191.45000000000002</v>
      </c>
      <c r="O976" s="2" t="b">
        <v>0</v>
      </c>
      <c r="P976" s="2">
        <f t="shared" si="31"/>
        <v>399.66</v>
      </c>
    </row>
    <row r="977" spans="1:16" x14ac:dyDescent="0.35">
      <c r="A977" s="2" t="s">
        <v>1969</v>
      </c>
      <c r="B977" s="2" t="s">
        <v>1970</v>
      </c>
      <c r="C977" s="3">
        <v>45491</v>
      </c>
      <c r="D977" s="2" t="s">
        <v>34</v>
      </c>
      <c r="E977" s="2" t="s">
        <v>12</v>
      </c>
      <c r="F977" s="2">
        <v>2</v>
      </c>
      <c r="G977" s="2">
        <v>199.83</v>
      </c>
      <c r="H977" s="2">
        <v>399.66</v>
      </c>
      <c r="I977" s="2" t="s">
        <v>17</v>
      </c>
      <c r="J977" s="2" t="str">
        <f t="shared" si="30"/>
        <v>Jul</v>
      </c>
      <c r="K977" s="4">
        <f>IF(AND(ISNUMBER(Lab2_Dataset[[#This Row],[Revenue]]), ISNUMBER(Lab2_Dataset[[#This Row],[Quantity]]), Lab2_Dataset[[#This Row],[Quantity]]&lt;&gt;0), Lab2_Dataset[[#This Row],[Revenue]]/Lab2_Dataset[[#This Row],[Quantity]], "")</f>
        <v>199.83</v>
      </c>
      <c r="O977" s="2" t="b">
        <v>0</v>
      </c>
      <c r="P977" s="2">
        <f t="shared" si="31"/>
        <v>231.9</v>
      </c>
    </row>
    <row r="978" spans="1:16" x14ac:dyDescent="0.35">
      <c r="A978" s="2" t="s">
        <v>1971</v>
      </c>
      <c r="B978" s="2" t="s">
        <v>1972</v>
      </c>
      <c r="C978" s="3">
        <v>45110</v>
      </c>
      <c r="D978" s="2" t="s">
        <v>69</v>
      </c>
      <c r="E978" s="2" t="s">
        <v>12</v>
      </c>
      <c r="F978" s="2">
        <v>2</v>
      </c>
      <c r="G978" s="2">
        <v>115.95</v>
      </c>
      <c r="H978" s="2">
        <v>231.9</v>
      </c>
      <c r="I978" s="2" t="s">
        <v>17</v>
      </c>
      <c r="J978" s="2" t="str">
        <f t="shared" si="30"/>
        <v>Jul</v>
      </c>
      <c r="K978" s="4">
        <f>IF(AND(ISNUMBER(Lab2_Dataset[[#This Row],[Revenue]]), ISNUMBER(Lab2_Dataset[[#This Row],[Quantity]]), Lab2_Dataset[[#This Row],[Quantity]]&lt;&gt;0), Lab2_Dataset[[#This Row],[Revenue]]/Lab2_Dataset[[#This Row],[Quantity]], "")</f>
        <v>115.95</v>
      </c>
      <c r="O978" s="2" t="b">
        <v>0</v>
      </c>
      <c r="P978" s="2">
        <f t="shared" si="31"/>
        <v>142.56</v>
      </c>
    </row>
    <row r="979" spans="1:16" x14ac:dyDescent="0.35">
      <c r="A979" s="2" t="s">
        <v>1973</v>
      </c>
      <c r="B979" s="2" t="s">
        <v>1974</v>
      </c>
      <c r="C979" s="3">
        <v>45584</v>
      </c>
      <c r="D979" s="2" t="s">
        <v>34</v>
      </c>
      <c r="E979" s="2" t="s">
        <v>12</v>
      </c>
      <c r="F979" s="2">
        <v>6</v>
      </c>
      <c r="G979" s="2">
        <v>23.76</v>
      </c>
      <c r="H979" s="2">
        <v>142.56</v>
      </c>
      <c r="I979" s="2" t="s">
        <v>17</v>
      </c>
      <c r="J979" s="2" t="str">
        <f t="shared" si="30"/>
        <v>Oct</v>
      </c>
      <c r="K979" s="4">
        <f>IF(AND(ISNUMBER(Lab2_Dataset[[#This Row],[Revenue]]), ISNUMBER(Lab2_Dataset[[#This Row],[Quantity]]), Lab2_Dataset[[#This Row],[Quantity]]&lt;&gt;0), Lab2_Dataset[[#This Row],[Revenue]]/Lab2_Dataset[[#This Row],[Quantity]], "")</f>
        <v>23.76</v>
      </c>
      <c r="O979" s="2" t="b">
        <v>0</v>
      </c>
      <c r="P979" s="2">
        <f t="shared" si="31"/>
        <v>60.14</v>
      </c>
    </row>
    <row r="980" spans="1:16" x14ac:dyDescent="0.35">
      <c r="A980" s="2" t="s">
        <v>1975</v>
      </c>
      <c r="B980" s="2" t="s">
        <v>1976</v>
      </c>
      <c r="C980" s="3">
        <v>45197</v>
      </c>
      <c r="D980" s="2" t="s">
        <v>11</v>
      </c>
      <c r="E980" s="2" t="s">
        <v>28</v>
      </c>
      <c r="F980" s="2">
        <v>1</v>
      </c>
      <c r="G980" s="2">
        <v>60.14</v>
      </c>
      <c r="H980" s="2">
        <v>60.14</v>
      </c>
      <c r="I980" s="2" t="s">
        <v>38</v>
      </c>
      <c r="J980" s="2" t="str">
        <f t="shared" si="30"/>
        <v>Sep</v>
      </c>
      <c r="K980" s="4">
        <f>IF(AND(ISNUMBER(Lab2_Dataset[[#This Row],[Revenue]]), ISNUMBER(Lab2_Dataset[[#This Row],[Quantity]]), Lab2_Dataset[[#This Row],[Quantity]]&lt;&gt;0), Lab2_Dataset[[#This Row],[Revenue]]/Lab2_Dataset[[#This Row],[Quantity]], "")</f>
        <v>60.14</v>
      </c>
      <c r="O980" s="2" t="b">
        <v>0</v>
      </c>
      <c r="P980" s="2" t="str">
        <f t="shared" si="31"/>
        <v/>
      </c>
    </row>
    <row r="981" spans="1:16" x14ac:dyDescent="0.35">
      <c r="A981" s="2" t="s">
        <v>1977</v>
      </c>
      <c r="B981" s="2" t="s">
        <v>1978</v>
      </c>
      <c r="C981" s="3">
        <v>45618</v>
      </c>
      <c r="D981" s="2" t="s">
        <v>69</v>
      </c>
      <c r="E981" s="2" t="s">
        <v>16</v>
      </c>
      <c r="G981" s="2">
        <v>193.03</v>
      </c>
      <c r="I981" s="2" t="s">
        <v>31</v>
      </c>
      <c r="J981" s="2" t="str">
        <f t="shared" si="30"/>
        <v>Nov</v>
      </c>
      <c r="K98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81" s="2" t="b">
        <v>1</v>
      </c>
      <c r="P981" s="2" t="str">
        <f t="shared" si="31"/>
        <v/>
      </c>
    </row>
    <row r="982" spans="1:16" x14ac:dyDescent="0.35">
      <c r="A982" s="2" t="s">
        <v>1979</v>
      </c>
      <c r="B982" s="2" t="s">
        <v>1980</v>
      </c>
      <c r="C982" s="3">
        <v>45136</v>
      </c>
      <c r="D982" s="2" t="s">
        <v>34</v>
      </c>
      <c r="E982" s="2" t="s">
        <v>16</v>
      </c>
      <c r="G982" s="2">
        <v>110.6</v>
      </c>
      <c r="I982" s="2" t="s">
        <v>21</v>
      </c>
      <c r="J982" s="2" t="str">
        <f t="shared" si="30"/>
        <v>Jul</v>
      </c>
      <c r="K982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82" s="2" t="b">
        <v>1</v>
      </c>
      <c r="P982" s="2" t="str">
        <f t="shared" si="31"/>
        <v/>
      </c>
    </row>
    <row r="983" spans="1:16" x14ac:dyDescent="0.35">
      <c r="A983" s="2" t="s">
        <v>1981</v>
      </c>
      <c r="B983" s="2" t="s">
        <v>1982</v>
      </c>
      <c r="C983" s="3">
        <v>45741</v>
      </c>
      <c r="D983" s="2" t="s">
        <v>11</v>
      </c>
      <c r="E983" s="2" t="s">
        <v>24</v>
      </c>
      <c r="G983" s="2">
        <v>40.58</v>
      </c>
      <c r="I983" s="2" t="s">
        <v>13</v>
      </c>
      <c r="J983" s="2" t="str">
        <f t="shared" si="30"/>
        <v>Mar</v>
      </c>
      <c r="K98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83" s="2" t="b">
        <v>1</v>
      </c>
      <c r="P983" s="2">
        <f t="shared" si="31"/>
        <v>191.08</v>
      </c>
    </row>
    <row r="984" spans="1:16" x14ac:dyDescent="0.35">
      <c r="A984" s="2" t="s">
        <v>1983</v>
      </c>
      <c r="B984" s="2" t="s">
        <v>1984</v>
      </c>
      <c r="C984" s="3">
        <v>45722</v>
      </c>
      <c r="D984" s="2" t="s">
        <v>34</v>
      </c>
      <c r="E984" s="2" t="s">
        <v>12</v>
      </c>
      <c r="F984" s="2">
        <v>4</v>
      </c>
      <c r="G984" s="2">
        <v>47.77</v>
      </c>
      <c r="H984" s="2">
        <v>191.08</v>
      </c>
      <c r="I984" s="2" t="s">
        <v>21</v>
      </c>
      <c r="J984" s="2" t="str">
        <f t="shared" si="30"/>
        <v>Mar</v>
      </c>
      <c r="K984" s="4">
        <f>IF(AND(ISNUMBER(Lab2_Dataset[[#This Row],[Revenue]]), ISNUMBER(Lab2_Dataset[[#This Row],[Quantity]]), Lab2_Dataset[[#This Row],[Quantity]]&lt;&gt;0), Lab2_Dataset[[#This Row],[Revenue]]/Lab2_Dataset[[#This Row],[Quantity]], "")</f>
        <v>47.77</v>
      </c>
      <c r="O984" s="2" t="b">
        <v>0</v>
      </c>
      <c r="P984" s="2">
        <f t="shared" si="31"/>
        <v>137</v>
      </c>
    </row>
    <row r="985" spans="1:16" x14ac:dyDescent="0.35">
      <c r="A985" s="2" t="s">
        <v>1985</v>
      </c>
      <c r="B985" s="2" t="s">
        <v>1986</v>
      </c>
      <c r="C985" s="3">
        <v>45435</v>
      </c>
      <c r="D985" s="2" t="s">
        <v>69</v>
      </c>
      <c r="E985" s="2" t="s">
        <v>12</v>
      </c>
      <c r="F985" s="2">
        <v>1</v>
      </c>
      <c r="G985" s="2">
        <v>137</v>
      </c>
      <c r="H985" s="2">
        <v>137</v>
      </c>
      <c r="I985" s="2" t="s">
        <v>21</v>
      </c>
      <c r="J985" s="2" t="str">
        <f t="shared" si="30"/>
        <v>May</v>
      </c>
      <c r="K985" s="4">
        <f>IF(AND(ISNUMBER(Lab2_Dataset[[#This Row],[Revenue]]), ISNUMBER(Lab2_Dataset[[#This Row],[Quantity]]), Lab2_Dataset[[#This Row],[Quantity]]&lt;&gt;0), Lab2_Dataset[[#This Row],[Revenue]]/Lab2_Dataset[[#This Row],[Quantity]], "")</f>
        <v>137</v>
      </c>
      <c r="O985" s="2" t="b">
        <v>0</v>
      </c>
      <c r="P985" s="2">
        <f t="shared" si="31"/>
        <v>346.56</v>
      </c>
    </row>
    <row r="986" spans="1:16" x14ac:dyDescent="0.35">
      <c r="A986" s="2" t="s">
        <v>1987</v>
      </c>
      <c r="B986" s="2" t="s">
        <v>1988</v>
      </c>
      <c r="C986" s="3">
        <v>45515</v>
      </c>
      <c r="D986" s="2" t="s">
        <v>20</v>
      </c>
      <c r="E986" s="2" t="s">
        <v>24</v>
      </c>
      <c r="F986" s="2">
        <v>8</v>
      </c>
      <c r="G986" s="2">
        <v>43.32</v>
      </c>
      <c r="H986" s="2">
        <v>346.56</v>
      </c>
      <c r="I986" s="2" t="s">
        <v>31</v>
      </c>
      <c r="J986" s="2" t="str">
        <f t="shared" si="30"/>
        <v>Aug</v>
      </c>
      <c r="K986" s="4">
        <f>IF(AND(ISNUMBER(Lab2_Dataset[[#This Row],[Revenue]]), ISNUMBER(Lab2_Dataset[[#This Row],[Quantity]]), Lab2_Dataset[[#This Row],[Quantity]]&lt;&gt;0), Lab2_Dataset[[#This Row],[Revenue]]/Lab2_Dataset[[#This Row],[Quantity]], "")</f>
        <v>43.32</v>
      </c>
      <c r="O986" s="2" t="b">
        <v>0</v>
      </c>
      <c r="P986" s="2">
        <f t="shared" si="31"/>
        <v>1223.8100000000002</v>
      </c>
    </row>
    <row r="987" spans="1:16" x14ac:dyDescent="0.35">
      <c r="A987" s="2" t="s">
        <v>1989</v>
      </c>
      <c r="B987" s="2" t="s">
        <v>1990</v>
      </c>
      <c r="C987" s="3">
        <v>45622</v>
      </c>
      <c r="D987" s="2" t="s">
        <v>37</v>
      </c>
      <c r="E987" s="2" t="s">
        <v>12</v>
      </c>
      <c r="F987" s="2">
        <v>7</v>
      </c>
      <c r="G987" s="2">
        <v>174.83</v>
      </c>
      <c r="H987" s="2">
        <v>1223.81</v>
      </c>
      <c r="I987" s="2" t="s">
        <v>31</v>
      </c>
      <c r="J987" s="2" t="str">
        <f t="shared" si="30"/>
        <v>Nov</v>
      </c>
      <c r="K987" s="4">
        <f>IF(AND(ISNUMBER(Lab2_Dataset[[#This Row],[Revenue]]), ISNUMBER(Lab2_Dataset[[#This Row],[Quantity]]), Lab2_Dataset[[#This Row],[Quantity]]&lt;&gt;0), Lab2_Dataset[[#This Row],[Revenue]]/Lab2_Dataset[[#This Row],[Quantity]], "")</f>
        <v>174.82999999999998</v>
      </c>
      <c r="O987" s="2" t="b">
        <v>0</v>
      </c>
      <c r="P987" s="2" t="str">
        <f t="shared" si="31"/>
        <v/>
      </c>
    </row>
    <row r="988" spans="1:16" x14ac:dyDescent="0.35">
      <c r="A988" s="2" t="s">
        <v>1991</v>
      </c>
      <c r="B988" s="2" t="s">
        <v>1992</v>
      </c>
      <c r="C988" s="3">
        <v>45194</v>
      </c>
      <c r="D988" s="2" t="s">
        <v>37</v>
      </c>
      <c r="E988" s="2" t="s">
        <v>12</v>
      </c>
      <c r="G988" s="2">
        <v>73.040000000000006</v>
      </c>
      <c r="I988" s="2" t="s">
        <v>13</v>
      </c>
      <c r="J988" s="2" t="str">
        <f t="shared" si="30"/>
        <v>Sep</v>
      </c>
      <c r="K988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88" s="2" t="b">
        <v>1</v>
      </c>
      <c r="P988" s="2">
        <f t="shared" si="31"/>
        <v>365.21999999999997</v>
      </c>
    </row>
    <row r="989" spans="1:16" x14ac:dyDescent="0.35">
      <c r="A989" s="2" t="s">
        <v>1993</v>
      </c>
      <c r="B989" s="2" t="s">
        <v>1994</v>
      </c>
      <c r="C989" s="3">
        <v>45759</v>
      </c>
      <c r="D989" s="2" t="s">
        <v>20</v>
      </c>
      <c r="E989" s="2" t="s">
        <v>28</v>
      </c>
      <c r="F989" s="2">
        <v>3</v>
      </c>
      <c r="G989" s="2">
        <v>121.74</v>
      </c>
      <c r="H989" s="2">
        <v>365.22</v>
      </c>
      <c r="I989" s="2" t="s">
        <v>21</v>
      </c>
      <c r="J989" s="2" t="str">
        <f t="shared" si="30"/>
        <v>Apr</v>
      </c>
      <c r="K989" s="4">
        <f>IF(AND(ISNUMBER(Lab2_Dataset[[#This Row],[Revenue]]), ISNUMBER(Lab2_Dataset[[#This Row],[Quantity]]), Lab2_Dataset[[#This Row],[Quantity]]&lt;&gt;0), Lab2_Dataset[[#This Row],[Revenue]]/Lab2_Dataset[[#This Row],[Quantity]], "")</f>
        <v>121.74000000000001</v>
      </c>
      <c r="O989" s="2" t="b">
        <v>0</v>
      </c>
      <c r="P989" s="2" t="str">
        <f t="shared" si="31"/>
        <v/>
      </c>
    </row>
    <row r="990" spans="1:16" x14ac:dyDescent="0.35">
      <c r="A990" s="2" t="s">
        <v>1995</v>
      </c>
      <c r="B990" s="2" t="s">
        <v>1996</v>
      </c>
      <c r="C990" s="3">
        <v>45552</v>
      </c>
      <c r="D990" s="2" t="s">
        <v>27</v>
      </c>
      <c r="E990" s="2" t="s">
        <v>12</v>
      </c>
      <c r="G990" s="2">
        <v>90.09</v>
      </c>
      <c r="I990" s="2" t="s">
        <v>21</v>
      </c>
      <c r="J990" s="2" t="str">
        <f t="shared" si="30"/>
        <v>Sep</v>
      </c>
      <c r="K99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90" s="2" t="b">
        <v>1</v>
      </c>
      <c r="P990" s="2">
        <f t="shared" si="31"/>
        <v>243.02</v>
      </c>
    </row>
    <row r="991" spans="1:16" x14ac:dyDescent="0.35">
      <c r="A991" s="2" t="s">
        <v>1997</v>
      </c>
      <c r="B991" s="2" t="s">
        <v>1998</v>
      </c>
      <c r="C991" s="3">
        <v>45260</v>
      </c>
      <c r="D991" s="2" t="s">
        <v>37</v>
      </c>
      <c r="E991" s="2" t="s">
        <v>12</v>
      </c>
      <c r="F991" s="2">
        <v>2</v>
      </c>
      <c r="G991" s="2">
        <v>121.51</v>
      </c>
      <c r="H991" s="2">
        <v>243.02</v>
      </c>
      <c r="I991" s="2" t="s">
        <v>38</v>
      </c>
      <c r="J991" s="2" t="str">
        <f t="shared" si="30"/>
        <v>Nov</v>
      </c>
      <c r="K991" s="4">
        <f>IF(AND(ISNUMBER(Lab2_Dataset[[#This Row],[Revenue]]), ISNUMBER(Lab2_Dataset[[#This Row],[Quantity]]), Lab2_Dataset[[#This Row],[Quantity]]&lt;&gt;0), Lab2_Dataset[[#This Row],[Revenue]]/Lab2_Dataset[[#This Row],[Quantity]], "")</f>
        <v>121.51</v>
      </c>
      <c r="O991" s="2" t="b">
        <v>0</v>
      </c>
      <c r="P991" s="2">
        <f t="shared" si="31"/>
        <v>50.41</v>
      </c>
    </row>
    <row r="992" spans="1:16" x14ac:dyDescent="0.35">
      <c r="A992" s="2" t="s">
        <v>1999</v>
      </c>
      <c r="B992" s="2" t="s">
        <v>2000</v>
      </c>
      <c r="C992" s="3">
        <v>45609</v>
      </c>
      <c r="D992" s="2" t="s">
        <v>11</v>
      </c>
      <c r="E992" s="2" t="s">
        <v>16</v>
      </c>
      <c r="F992" s="2">
        <v>1</v>
      </c>
      <c r="G992" s="2">
        <v>50.41</v>
      </c>
      <c r="H992" s="2">
        <v>50.41</v>
      </c>
      <c r="I992" s="2" t="s">
        <v>52</v>
      </c>
      <c r="J992" s="2" t="str">
        <f t="shared" si="30"/>
        <v>Nov</v>
      </c>
      <c r="K992" s="4">
        <f>IF(AND(ISNUMBER(Lab2_Dataset[[#This Row],[Revenue]]), ISNUMBER(Lab2_Dataset[[#This Row],[Quantity]]), Lab2_Dataset[[#This Row],[Quantity]]&lt;&gt;0), Lab2_Dataset[[#This Row],[Revenue]]/Lab2_Dataset[[#This Row],[Quantity]], "")</f>
        <v>50.41</v>
      </c>
      <c r="O992" s="2" t="b">
        <v>0</v>
      </c>
      <c r="P992" s="2" t="str">
        <f t="shared" si="31"/>
        <v/>
      </c>
    </row>
    <row r="993" spans="1:16" x14ac:dyDescent="0.35">
      <c r="A993" s="2" t="s">
        <v>2001</v>
      </c>
      <c r="B993" s="2" t="s">
        <v>2002</v>
      </c>
      <c r="C993" s="3">
        <v>45560</v>
      </c>
      <c r="D993" s="2" t="s">
        <v>27</v>
      </c>
      <c r="E993" s="2" t="s">
        <v>28</v>
      </c>
      <c r="G993" s="2">
        <v>174.21</v>
      </c>
      <c r="I993" s="2" t="s">
        <v>21</v>
      </c>
      <c r="J993" s="2" t="str">
        <f t="shared" si="30"/>
        <v>Sep</v>
      </c>
      <c r="K993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93" s="2" t="b">
        <v>1</v>
      </c>
      <c r="P993" s="2">
        <f t="shared" si="31"/>
        <v>1328.95</v>
      </c>
    </row>
    <row r="994" spans="1:16" x14ac:dyDescent="0.35">
      <c r="A994" s="2" t="s">
        <v>2003</v>
      </c>
      <c r="B994" s="2" t="s">
        <v>2004</v>
      </c>
      <c r="C994" s="3">
        <v>45093</v>
      </c>
      <c r="D994" s="2" t="s">
        <v>37</v>
      </c>
      <c r="E994" s="2" t="s">
        <v>24</v>
      </c>
      <c r="F994" s="2">
        <v>7</v>
      </c>
      <c r="G994" s="2">
        <v>189.85</v>
      </c>
      <c r="H994" s="2">
        <v>1328.95</v>
      </c>
      <c r="I994" s="2" t="s">
        <v>13</v>
      </c>
      <c r="J994" s="2" t="str">
        <f t="shared" si="30"/>
        <v>Jun</v>
      </c>
      <c r="K994" s="4">
        <f>IF(AND(ISNUMBER(Lab2_Dataset[[#This Row],[Revenue]]), ISNUMBER(Lab2_Dataset[[#This Row],[Quantity]]), Lab2_Dataset[[#This Row],[Quantity]]&lt;&gt;0), Lab2_Dataset[[#This Row],[Revenue]]/Lab2_Dataset[[#This Row],[Quantity]], "")</f>
        <v>189.85</v>
      </c>
      <c r="O994" s="2" t="b">
        <v>0</v>
      </c>
      <c r="P994" s="2">
        <f t="shared" si="31"/>
        <v>95.02</v>
      </c>
    </row>
    <row r="995" spans="1:16" x14ac:dyDescent="0.35">
      <c r="A995" s="2" t="s">
        <v>2005</v>
      </c>
      <c r="B995" s="2" t="s">
        <v>2006</v>
      </c>
      <c r="C995" s="3">
        <v>45203</v>
      </c>
      <c r="D995" s="2" t="s">
        <v>20</v>
      </c>
      <c r="E995" s="2" t="s">
        <v>28</v>
      </c>
      <c r="F995" s="2">
        <v>2</v>
      </c>
      <c r="G995" s="2">
        <v>47.51</v>
      </c>
      <c r="H995" s="2">
        <v>95.02</v>
      </c>
      <c r="I995" s="2" t="s">
        <v>21</v>
      </c>
      <c r="J995" s="2" t="str">
        <f t="shared" si="30"/>
        <v>Oct</v>
      </c>
      <c r="K995" s="4">
        <f>IF(AND(ISNUMBER(Lab2_Dataset[[#This Row],[Revenue]]), ISNUMBER(Lab2_Dataset[[#This Row],[Quantity]]), Lab2_Dataset[[#This Row],[Quantity]]&lt;&gt;0), Lab2_Dataset[[#This Row],[Revenue]]/Lab2_Dataset[[#This Row],[Quantity]], "")</f>
        <v>47.51</v>
      </c>
      <c r="O995" s="2" t="b">
        <v>0</v>
      </c>
      <c r="P995" s="2" t="str">
        <f t="shared" si="31"/>
        <v/>
      </c>
    </row>
    <row r="996" spans="1:16" x14ac:dyDescent="0.35">
      <c r="A996" s="2" t="s">
        <v>2007</v>
      </c>
      <c r="B996" s="2" t="s">
        <v>2008</v>
      </c>
      <c r="C996" s="3">
        <v>45493</v>
      </c>
      <c r="D996" s="2" t="s">
        <v>37</v>
      </c>
      <c r="E996" s="2" t="s">
        <v>16</v>
      </c>
      <c r="G996" s="2">
        <v>43.47</v>
      </c>
      <c r="I996" s="2" t="s">
        <v>13</v>
      </c>
      <c r="J996" s="2" t="str">
        <f t="shared" si="30"/>
        <v>Jul</v>
      </c>
      <c r="K996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96" s="2" t="b">
        <v>1</v>
      </c>
      <c r="P996" s="2">
        <f t="shared" si="31"/>
        <v>1122.08</v>
      </c>
    </row>
    <row r="997" spans="1:16" x14ac:dyDescent="0.35">
      <c r="A997" s="2" t="s">
        <v>2009</v>
      </c>
      <c r="B997" s="2" t="s">
        <v>2010</v>
      </c>
      <c r="C997" s="3">
        <v>45128</v>
      </c>
      <c r="D997" s="2" t="s">
        <v>69</v>
      </c>
      <c r="E997" s="2" t="s">
        <v>28</v>
      </c>
      <c r="F997" s="2">
        <v>8</v>
      </c>
      <c r="G997" s="2">
        <v>140.26</v>
      </c>
      <c r="H997" s="2">
        <v>1122.08</v>
      </c>
      <c r="I997" s="2" t="s">
        <v>21</v>
      </c>
      <c r="J997" s="2" t="str">
        <f t="shared" si="30"/>
        <v>Jul</v>
      </c>
      <c r="K997" s="4">
        <f>IF(AND(ISNUMBER(Lab2_Dataset[[#This Row],[Revenue]]), ISNUMBER(Lab2_Dataset[[#This Row],[Quantity]]), Lab2_Dataset[[#This Row],[Quantity]]&lt;&gt;0), Lab2_Dataset[[#This Row],[Revenue]]/Lab2_Dataset[[#This Row],[Quantity]], "")</f>
        <v>140.26</v>
      </c>
      <c r="O997" s="2" t="b">
        <v>0</v>
      </c>
      <c r="P997" s="2">
        <f t="shared" si="31"/>
        <v>126.51</v>
      </c>
    </row>
    <row r="998" spans="1:16" x14ac:dyDescent="0.35">
      <c r="A998" s="2" t="s">
        <v>2011</v>
      </c>
      <c r="B998" s="2" t="s">
        <v>2012</v>
      </c>
      <c r="C998" s="3">
        <v>45734</v>
      </c>
      <c r="D998" s="2" t="s">
        <v>37</v>
      </c>
      <c r="E998" s="2" t="s">
        <v>24</v>
      </c>
      <c r="F998" s="2">
        <v>1</v>
      </c>
      <c r="G998" s="2">
        <v>126.51</v>
      </c>
      <c r="H998" s="2">
        <v>126.51</v>
      </c>
      <c r="I998" s="2" t="s">
        <v>38</v>
      </c>
      <c r="J998" s="2" t="str">
        <f t="shared" si="30"/>
        <v>Mar</v>
      </c>
      <c r="K998" s="4">
        <f>IF(AND(ISNUMBER(Lab2_Dataset[[#This Row],[Revenue]]), ISNUMBER(Lab2_Dataset[[#This Row],[Quantity]]), Lab2_Dataset[[#This Row],[Quantity]]&lt;&gt;0), Lab2_Dataset[[#This Row],[Revenue]]/Lab2_Dataset[[#This Row],[Quantity]], "")</f>
        <v>126.51</v>
      </c>
      <c r="O998" s="2" t="b">
        <v>0</v>
      </c>
      <c r="P998" s="2" t="str">
        <f t="shared" si="31"/>
        <v/>
      </c>
    </row>
    <row r="999" spans="1:16" x14ac:dyDescent="0.35">
      <c r="A999" s="2" t="s">
        <v>2013</v>
      </c>
      <c r="B999" s="2" t="s">
        <v>2014</v>
      </c>
      <c r="C999" s="3">
        <v>45741</v>
      </c>
      <c r="D999" s="2" t="s">
        <v>69</v>
      </c>
      <c r="E999" s="2" t="s">
        <v>24</v>
      </c>
      <c r="G999" s="2">
        <v>178.23</v>
      </c>
      <c r="I999" s="2" t="s">
        <v>31</v>
      </c>
      <c r="J999" s="2" t="str">
        <f t="shared" si="30"/>
        <v>Mar</v>
      </c>
      <c r="K999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999" s="2" t="b">
        <v>1</v>
      </c>
      <c r="P999" s="2" t="str">
        <f t="shared" si="31"/>
        <v/>
      </c>
    </row>
    <row r="1000" spans="1:16" x14ac:dyDescent="0.35">
      <c r="A1000" s="2" t="s">
        <v>2015</v>
      </c>
      <c r="B1000" s="2" t="s">
        <v>2016</v>
      </c>
      <c r="C1000" s="3">
        <v>45521</v>
      </c>
      <c r="D1000" s="2" t="s">
        <v>37</v>
      </c>
      <c r="E1000" s="2" t="s">
        <v>47</v>
      </c>
      <c r="G1000" s="2">
        <v>175.2</v>
      </c>
      <c r="I1000" s="2" t="s">
        <v>17</v>
      </c>
      <c r="J1000" s="2" t="str">
        <f t="shared" si="30"/>
        <v>Aug</v>
      </c>
      <c r="K1000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00" s="2" t="b">
        <v>1</v>
      </c>
      <c r="P1000" s="2" t="str">
        <f t="shared" si="31"/>
        <v/>
      </c>
    </row>
    <row r="1001" spans="1:16" x14ac:dyDescent="0.35">
      <c r="A1001" s="2" t="s">
        <v>2017</v>
      </c>
      <c r="B1001" s="2" t="s">
        <v>1950</v>
      </c>
      <c r="C1001" s="3">
        <v>45487</v>
      </c>
      <c r="D1001" s="2" t="s">
        <v>27</v>
      </c>
      <c r="E1001" s="2" t="s">
        <v>12</v>
      </c>
      <c r="G1001" s="2">
        <v>93.83</v>
      </c>
      <c r="I1001" s="2" t="s">
        <v>21</v>
      </c>
      <c r="J1001" s="2" t="str">
        <f t="shared" si="30"/>
        <v>Jul</v>
      </c>
      <c r="K1001" s="4" t="str">
        <f>IF(AND(ISNUMBER(Lab2_Dataset[[#This Row],[Revenue]]), ISNUMBER(Lab2_Dataset[[#This Row],[Quantity]]), Lab2_Dataset[[#This Row],[Quantity]]&lt;&gt;0), Lab2_Dataset[[#This Row],[Revenue]]/Lab2_Dataset[[#This Row],[Quantity]], "")</f>
        <v/>
      </c>
      <c r="O1001" s="2" t="b">
        <v>1</v>
      </c>
      <c r="P1001" s="2">
        <f t="shared" si="31"/>
        <v>0</v>
      </c>
    </row>
  </sheetData>
  <conditionalFormatting sqref="H1:H1048576">
    <cfRule type="containsBlanks" dxfId="0" priority="1">
      <formula>LEN(TRIM(H1))=0</formula>
    </cfRule>
    <cfRule type="containsBlanks" priority="2">
      <formula>LEN(TRIM(H1))=0</formula>
    </cfRule>
  </conditionalFormatting>
  <pageMargins left="0.7" right="0.7" top="0.75" bottom="0.75" header="0.3" footer="0.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2BF99-A0F8-48DF-BD3A-AD52357E7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Lab2_Dataset (3)</vt:lpstr>
      <vt:lpstr>NehaalSyyed_Lab2_Dataset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Nehaal Syed</dc:creator>
  <cp:lastModifiedBy>Nehaal Syed</cp:lastModifiedBy>
  <dcterms:created xsi:type="dcterms:W3CDTF">2025-09-22T17:40:38Z</dcterms:created>
  <dcterms:modified xsi:type="dcterms:W3CDTF">2025-09-23T02:11:33Z</dcterms:modified>
</cp:coreProperties>
</file>